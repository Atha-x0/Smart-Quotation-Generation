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star" sheetId="1" r:id="rId4"/>
  </sheets>
  <definedNames/>
  <calcPr/>
  <extLst>
    <ext uri="GoogleSheetsCustomDataVersion2">
      <go:sheetsCustomData xmlns:go="http://customooxmlschemas.google.com/" r:id="rId5" roundtripDataChecksum="SS6ofiGMBOzIAv434SI6ORtssIDAp2gaZCg6uODF1AY="/>
    </ext>
  </extLst>
</workbook>
</file>

<file path=xl/sharedStrings.xml><?xml version="1.0" encoding="utf-8"?>
<sst xmlns="http://schemas.openxmlformats.org/spreadsheetml/2006/main" count="56" uniqueCount="54">
  <si>
    <t xml:space="preserve">           </t>
  </si>
  <si>
    <r>
      <rPr>
        <rFont val="Tahoma"/>
        <b/>
        <color theme="1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theme="1"/>
        <sz val="11.0"/>
      </rPr>
      <t>11/5, MIDC Infotech Park, South Ambazari Road, Nagpur-440022</t>
    </r>
  </si>
  <si>
    <t>QUOTATION</t>
  </si>
  <si>
    <t>Date:</t>
  </si>
  <si>
    <t>Quotation No.:</t>
  </si>
  <si>
    <t>SEE/2025-26/BSL/56-1</t>
  </si>
  <si>
    <t>To,</t>
  </si>
  <si>
    <t xml:space="preserve">Blue Star Limited 
Survey no. 256/2, Demni road, Dadra- 396193, UT of Dadra &amp; Nagar Haveli 
</t>
  </si>
  <si>
    <t xml:space="preserve"> </t>
  </si>
  <si>
    <t>Dadra</t>
  </si>
  <si>
    <t>Kind Attn.</t>
  </si>
  <si>
    <t xml:space="preserve">Mr. Vinod D. Singh (Mobile: 9824728861) </t>
  </si>
  <si>
    <t>Ref.</t>
  </si>
  <si>
    <t>As per your enquiry and further communication</t>
  </si>
  <si>
    <t>Dear Sir,</t>
  </si>
  <si>
    <t xml:space="preserve">We thank you for your inquiry for IE5 Energy Efficiency Motors and VFD </t>
  </si>
  <si>
    <t>SEE-Tech's offer is as follows:</t>
  </si>
  <si>
    <t xml:space="preserve">Sr. </t>
  </si>
  <si>
    <t>Particular</t>
  </si>
  <si>
    <t>Rate</t>
  </si>
  <si>
    <t>Qty</t>
  </si>
  <si>
    <t>Amount</t>
  </si>
  <si>
    <t>Super Efficient Direct Driven Fan: MXC 1000-D, (17,500 CFM, 125 MMWG), IE5 Efficiency Class Motor (18.5 kW, 1500 RPM) with VFD &amp; VFD Panel</t>
  </si>
  <si>
    <t>VFD Make: Fuji Electric, 7.5 kW HD, FRN0029E2S-4GB/X</t>
  </si>
  <si>
    <t>Amount, Rs. Six lakhs Forty Seven thousand Fifty Two only</t>
  </si>
  <si>
    <t>Sr.</t>
  </si>
  <si>
    <t>Scope of Work</t>
  </si>
  <si>
    <t>Supply of Super Efficient Direct Driven fan, IE5 efficiency class motor &amp; VFD Panel</t>
  </si>
  <si>
    <t>Dismentling of existing blower</t>
  </si>
  <si>
    <t>Installation of Super Efficient Direct Driven fan with support, stand and fitting</t>
  </si>
  <si>
    <t>Commissioning of blower with VFD</t>
  </si>
  <si>
    <t>Technical Specifications</t>
  </si>
  <si>
    <r>
      <rPr>
        <rFont val="Calibri"/>
        <b/>
        <color theme="1"/>
        <sz val="11.0"/>
      </rPr>
      <t xml:space="preserve">Super Efficient Direct Driven Blower for AHU: </t>
    </r>
    <r>
      <rPr>
        <rFont val="Calibri"/>
        <b val="0"/>
        <color theme="1"/>
        <sz val="11.0"/>
      </rPr>
      <t>Make: Kruger, MXC 1000-D</t>
    </r>
  </si>
  <si>
    <r>
      <rPr>
        <rFont val="Calibri"/>
        <b/>
        <color theme="1"/>
        <sz val="11.0"/>
      </rPr>
      <t xml:space="preserve">IE5 Class Motor: </t>
    </r>
    <r>
      <rPr>
        <rFont val="Calibri"/>
        <b val="0"/>
        <color theme="1"/>
        <sz val="11.0"/>
      </rPr>
      <t>Make: BBL/Rotomotive/Equivalent: 18.5 kW, 1500 RPM, Efficiency: 95.3%</t>
    </r>
  </si>
  <si>
    <r>
      <rPr>
        <rFont val="Calibri"/>
        <b/>
        <color theme="1"/>
        <sz val="11.0"/>
      </rPr>
      <t xml:space="preserve">VFD: </t>
    </r>
    <r>
      <rPr>
        <rFont val="Calibri"/>
        <b val="0"/>
        <color theme="1"/>
        <sz val="11.0"/>
      </rPr>
      <t>Make: Fuji Electric, 18.5 kW</t>
    </r>
  </si>
  <si>
    <r>
      <rPr>
        <rFont val="Calibri"/>
        <b/>
        <color theme="1"/>
        <sz val="11.0"/>
      </rPr>
      <t xml:space="preserve">Electrical Panel: </t>
    </r>
    <r>
      <rPr>
        <rFont val="Calibri"/>
        <b val="0"/>
        <color theme="1"/>
        <sz val="11.0"/>
      </rPr>
      <t>Make: SEE-Tech</t>
    </r>
  </si>
  <si>
    <t>Energy Saving Calculation</t>
  </si>
  <si>
    <r>
      <rPr>
        <rFont val="Calibri"/>
        <b/>
        <color theme="1"/>
        <sz val="11.0"/>
      </rPr>
      <t xml:space="preserve">Baseline Energy Consumption of AHU, Rs/year: </t>
    </r>
    <r>
      <rPr>
        <rFont val="Calibri"/>
        <b val="0"/>
        <color theme="1"/>
        <sz val="11.0"/>
      </rPr>
      <t>18.92 kW X 24 Hrs/Day X 365 Days/Year X 8.5 Rs./Unit</t>
    </r>
  </si>
  <si>
    <t>Annual Energy Saving (20%), Rs/year:</t>
  </si>
  <si>
    <t>Payback Period, Months</t>
  </si>
  <si>
    <t>Other Terms &amp; Conditions:</t>
  </si>
  <si>
    <t>1. GST shall be charge extra @18%</t>
  </si>
  <si>
    <t>2. Freight Charges: Extra as actual</t>
  </si>
  <si>
    <t>3. Fabricated stand/ structure support require for blower installation will be provided by SEE-Tech</t>
  </si>
  <si>
    <t>4. Farana/ crane is not in our scope (for lifting &amp; shifting)</t>
  </si>
  <si>
    <t>5. Delivery: 60 to 90 days  from the receipt of PO and advance</t>
  </si>
  <si>
    <t>6. Installation: Immediately starts as after material delivery at site</t>
  </si>
  <si>
    <t xml:space="preserve">7. Warranty: 1 Year from date of Invoice  </t>
  </si>
  <si>
    <t>8. Cable if required for installation of VFD panel and motor will be provided by client</t>
  </si>
  <si>
    <t>9. Quotation is valid for 30 days from the date of submission</t>
  </si>
  <si>
    <t>Payment Terms:</t>
  </si>
  <si>
    <t>1. 50% advance payment along with Purchase order</t>
  </si>
  <si>
    <t>2. 40% payment before material dispatch</t>
  </si>
  <si>
    <t>3. 10% payment after Installation and Commissioning of blower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</si>
</sst>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 * #,##0_ ;_ * \-#,##0_ ;_ * &quot;-&quot;??_ ;_ @_ "/>
  </numFmts>
  <fonts count="11">
    <font>
      <sz val="11.0"/>
      <color theme="1"/>
      <name val="Calibri"/>
      <scheme val="minor"/>
    </font>
    <font>
      <sz val="11.0"/>
      <color theme="1"/>
      <name val="Tahoma"/>
    </font>
    <font>
      <b/>
      <sz val="16.0"/>
      <color theme="1"/>
      <name val="Tahoma"/>
    </font>
    <font/>
    <font>
      <b/>
      <sz val="22.0"/>
      <color theme="1"/>
      <name val="Tahoma"/>
    </font>
    <font>
      <b/>
      <sz val="8.0"/>
      <color theme="1"/>
      <name val="Garamond"/>
    </font>
    <font>
      <sz val="11.0"/>
      <color theme="1"/>
      <name val="Calibri"/>
    </font>
    <font>
      <b/>
      <sz val="11.0"/>
      <color theme="1"/>
      <name val="Garamond"/>
    </font>
    <font>
      <b/>
      <sz val="11.0"/>
      <color theme="1"/>
      <name val="Calibri"/>
    </font>
    <font>
      <b/>
      <sz val="11.0"/>
      <color theme="1"/>
      <name val="Tahoma"/>
    </font>
    <font>
      <sz val="10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6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left" vertical="center"/>
    </xf>
    <xf borderId="2" fillId="0" fontId="6" numFmtId="15" xfId="0" applyAlignment="1" applyBorder="1" applyFont="1" applyNumberFormat="1">
      <alignment horizontal="left" readingOrder="0" vertical="center"/>
    </xf>
    <xf borderId="5" fillId="0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left" readingOrder="0" vertic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shrinkToFit="0" vertical="center" wrapText="1"/>
    </xf>
    <xf borderId="5" fillId="0" fontId="6" numFmtId="3" xfId="0" applyAlignment="1" applyBorder="1" applyFont="1" applyNumberFormat="1">
      <alignment horizontal="center" readingOrder="0" vertical="center"/>
    </xf>
    <xf borderId="5" fillId="0" fontId="6" numFmtId="3" xfId="0" applyAlignment="1" applyBorder="1" applyFont="1" applyNumberFormat="1">
      <alignment horizontal="center" vertical="center"/>
    </xf>
    <xf borderId="5" fillId="0" fontId="6" numFmtId="164" xfId="0" applyAlignment="1" applyBorder="1" applyFont="1" applyNumberFormat="1">
      <alignment vertical="center"/>
    </xf>
    <xf borderId="5" fillId="0" fontId="6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3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vertical="center"/>
    </xf>
    <xf borderId="2" fillId="0" fontId="8" numFmtId="0" xfId="0" applyAlignment="1" applyBorder="1" applyFont="1">
      <alignment vertical="center"/>
    </xf>
    <xf borderId="2" fillId="0" fontId="6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165" xfId="0" applyBorder="1" applyFont="1" applyNumberFormat="1"/>
    <xf borderId="5" fillId="0" fontId="8" numFmtId="3" xfId="0" applyAlignment="1" applyBorder="1" applyFont="1" applyNumberFormat="1">
      <alignment horizontal="center" shrinkToFit="0" vertical="center" wrapText="1"/>
    </xf>
    <xf borderId="2" fillId="2" fontId="10" numFmtId="0" xfId="0" applyAlignment="1" applyBorder="1" applyFill="1" applyFont="1">
      <alignment horizontal="center" vertical="center"/>
    </xf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1152525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80.86"/>
    <col customWidth="1" min="3" max="3" width="11.86"/>
    <col customWidth="1" min="4" max="4" width="10.43"/>
    <col customWidth="1" min="5" max="5" width="11.86"/>
    <col customWidth="1" min="6" max="6" width="9.14"/>
    <col customWidth="1" min="7" max="7" width="10.29"/>
    <col customWidth="1" min="8" max="9" width="9.14"/>
    <col customWidth="1" min="10" max="10" width="4.57"/>
    <col customWidth="1" min="11" max="25" width="9.14"/>
  </cols>
  <sheetData>
    <row r="1" ht="68.25" customHeight="1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46091.0</v>
      </c>
      <c r="C3" s="3"/>
      <c r="D3" s="3"/>
      <c r="E3" s="4"/>
      <c r="F3" s="12"/>
      <c r="G3" s="6"/>
      <c r="H3" s="6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0" customHeight="1">
      <c r="A4" s="10" t="s">
        <v>4</v>
      </c>
      <c r="B4" s="15" t="s">
        <v>5</v>
      </c>
      <c r="C4" s="3"/>
      <c r="D4" s="3"/>
      <c r="E4" s="4"/>
      <c r="F4" s="12"/>
      <c r="G4" s="6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6" t="s">
        <v>6</v>
      </c>
      <c r="B5" s="17" t="s">
        <v>7</v>
      </c>
      <c r="C5" s="3"/>
      <c r="D5" s="3"/>
      <c r="E5" s="4"/>
      <c r="F5" s="18"/>
      <c r="G5" s="19"/>
      <c r="H5" s="19"/>
      <c r="I5" s="6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10" t="s">
        <v>8</v>
      </c>
      <c r="B6" s="21" t="s">
        <v>9</v>
      </c>
      <c r="C6" s="3"/>
      <c r="D6" s="3"/>
      <c r="E6" s="4"/>
      <c r="F6" s="12"/>
      <c r="G6" s="6"/>
      <c r="H6" s="6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8.75" customHeight="1">
      <c r="A7" s="10" t="s">
        <v>10</v>
      </c>
      <c r="B7" s="15" t="s">
        <v>11</v>
      </c>
      <c r="C7" s="3"/>
      <c r="D7" s="3"/>
      <c r="E7" s="4"/>
      <c r="F7" s="12"/>
      <c r="G7" s="6"/>
      <c r="H7" s="6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8.0" customHeight="1">
      <c r="A8" s="22"/>
      <c r="B8" s="3"/>
      <c r="C8" s="3"/>
      <c r="D8" s="3"/>
      <c r="E8" s="4"/>
      <c r="F8" s="12"/>
      <c r="G8" s="13"/>
      <c r="H8" s="6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8.0" customHeight="1">
      <c r="A9" s="10" t="s">
        <v>12</v>
      </c>
      <c r="B9" s="15" t="s">
        <v>13</v>
      </c>
      <c r="C9" s="3"/>
      <c r="D9" s="3"/>
      <c r="E9" s="4"/>
      <c r="F9" s="12"/>
      <c r="G9" s="13"/>
      <c r="H9" s="6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8.0" customHeight="1">
      <c r="A10" s="23"/>
      <c r="B10" s="3"/>
      <c r="C10" s="3"/>
      <c r="D10" s="3"/>
      <c r="E10" s="4"/>
      <c r="F10" s="12"/>
      <c r="G10" s="13"/>
      <c r="H10" s="6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0.25" customHeight="1">
      <c r="A11" s="22" t="s">
        <v>14</v>
      </c>
      <c r="B11" s="3"/>
      <c r="C11" s="3"/>
      <c r="D11" s="3"/>
      <c r="E11" s="4"/>
      <c r="F11" s="12"/>
      <c r="G11" s="13"/>
      <c r="H11" s="12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0.25" customHeight="1">
      <c r="A12" s="15" t="s">
        <v>15</v>
      </c>
      <c r="B12" s="3"/>
      <c r="C12" s="3"/>
      <c r="D12" s="3"/>
      <c r="E12" s="4"/>
      <c r="F12" s="12"/>
      <c r="G12" s="24"/>
      <c r="H12" s="1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0.25" customHeight="1">
      <c r="A13" s="22" t="s">
        <v>16</v>
      </c>
      <c r="B13" s="3"/>
      <c r="C13" s="3"/>
      <c r="D13" s="3"/>
      <c r="E13" s="4"/>
      <c r="F13" s="12"/>
      <c r="G13" s="24"/>
      <c r="H13" s="12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0.25" customHeight="1">
      <c r="A14" s="25" t="s">
        <v>17</v>
      </c>
      <c r="B14" s="16" t="s">
        <v>18</v>
      </c>
      <c r="C14" s="25" t="s">
        <v>19</v>
      </c>
      <c r="D14" s="25" t="s">
        <v>20</v>
      </c>
      <c r="E14" s="25" t="s">
        <v>21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0.0" customHeight="1">
      <c r="A15" s="26">
        <v>1.0</v>
      </c>
      <c r="B15" s="27" t="s">
        <v>22</v>
      </c>
      <c r="C15" s="28">
        <v>70798.0</v>
      </c>
      <c r="D15" s="28">
        <v>6.0</v>
      </c>
      <c r="E15" s="29">
        <f t="shared" ref="E15:E16" si="1">C15*D15</f>
        <v>424788</v>
      </c>
      <c r="F15" s="14"/>
      <c r="G15" s="30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0.25" customHeight="1">
      <c r="A16" s="31">
        <v>2.0</v>
      </c>
      <c r="B16" s="32" t="s">
        <v>23</v>
      </c>
      <c r="C16" s="28">
        <v>37044.0</v>
      </c>
      <c r="D16" s="31">
        <v>6.0</v>
      </c>
      <c r="E16" s="29">
        <f t="shared" si="1"/>
        <v>222264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0.25" customHeight="1">
      <c r="A17" s="26"/>
      <c r="B17" s="32" t="s">
        <v>24</v>
      </c>
      <c r="C17" s="26"/>
      <c r="D17" s="26"/>
      <c r="E17" s="33">
        <f>SUM(E15:E16)</f>
        <v>647052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0.25" customHeight="1">
      <c r="A18" s="34"/>
      <c r="B18" s="3"/>
      <c r="C18" s="3"/>
      <c r="D18" s="3"/>
      <c r="E18" s="4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0.25" customHeight="1">
      <c r="A19" s="25" t="s">
        <v>25</v>
      </c>
      <c r="B19" s="35" t="s">
        <v>26</v>
      </c>
      <c r="C19" s="3"/>
      <c r="D19" s="3"/>
      <c r="E19" s="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6">
        <v>1.0</v>
      </c>
      <c r="B20" s="36" t="s">
        <v>27</v>
      </c>
      <c r="C20" s="3"/>
      <c r="D20" s="3"/>
      <c r="E20" s="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6">
        <v>2.0</v>
      </c>
      <c r="B21" s="36" t="s">
        <v>28</v>
      </c>
      <c r="C21" s="3"/>
      <c r="D21" s="3"/>
      <c r="E21" s="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>
        <v>3.0</v>
      </c>
      <c r="B22" s="36" t="s">
        <v>29</v>
      </c>
      <c r="C22" s="3"/>
      <c r="D22" s="3"/>
      <c r="E22" s="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26">
        <v>4.0</v>
      </c>
      <c r="B23" s="36" t="s">
        <v>30</v>
      </c>
      <c r="C23" s="3"/>
      <c r="D23" s="3"/>
      <c r="E23" s="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8.0" customHeight="1">
      <c r="A24" s="23"/>
      <c r="B24" s="3"/>
      <c r="C24" s="3"/>
      <c r="D24" s="3"/>
      <c r="E24" s="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0.25" customHeight="1">
      <c r="A25" s="25" t="s">
        <v>25</v>
      </c>
      <c r="B25" s="35" t="s">
        <v>31</v>
      </c>
      <c r="C25" s="3"/>
      <c r="D25" s="3"/>
      <c r="E25" s="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>
        <v>1.0</v>
      </c>
      <c r="B26" s="37" t="s">
        <v>32</v>
      </c>
      <c r="C26" s="3"/>
      <c r="D26" s="3"/>
      <c r="E26" s="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26">
        <v>2.0</v>
      </c>
      <c r="B27" s="37" t="s">
        <v>33</v>
      </c>
      <c r="C27" s="3"/>
      <c r="D27" s="3"/>
      <c r="E27" s="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>
        <v>3.0</v>
      </c>
      <c r="B28" s="37" t="s">
        <v>34</v>
      </c>
      <c r="C28" s="3"/>
      <c r="D28" s="3"/>
      <c r="E28" s="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26">
        <v>4.0</v>
      </c>
      <c r="B29" s="37" t="s">
        <v>35</v>
      </c>
      <c r="C29" s="3"/>
      <c r="D29" s="3"/>
      <c r="E29" s="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8.0" customHeight="1">
      <c r="A30" s="23"/>
      <c r="B30" s="3"/>
      <c r="C30" s="3"/>
      <c r="D30" s="3"/>
      <c r="E30" s="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25" t="s">
        <v>25</v>
      </c>
      <c r="B31" s="37" t="s">
        <v>36</v>
      </c>
      <c r="C31" s="3"/>
      <c r="D31" s="3"/>
      <c r="E31" s="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>
        <v>1.0</v>
      </c>
      <c r="B32" s="38" t="s">
        <v>37</v>
      </c>
      <c r="C32" s="3"/>
      <c r="D32" s="4"/>
      <c r="E32" s="39">
        <v>1408783.0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26">
        <v>2.0</v>
      </c>
      <c r="B33" s="38" t="s">
        <v>38</v>
      </c>
      <c r="C33" s="3"/>
      <c r="D33" s="4"/>
      <c r="E33" s="39">
        <f>E32*20%</f>
        <v>281756.6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>
        <v>3.0</v>
      </c>
      <c r="B34" s="38" t="s">
        <v>39</v>
      </c>
      <c r="C34" s="3"/>
      <c r="D34" s="4"/>
      <c r="E34" s="39">
        <f>E17/E33*12</f>
        <v>27.55791346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8.0" customHeight="1">
      <c r="A35" s="23"/>
      <c r="B35" s="3"/>
      <c r="C35" s="3"/>
      <c r="D35" s="3"/>
      <c r="E35" s="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0.25" customHeight="1">
      <c r="A36" s="35" t="s">
        <v>40</v>
      </c>
      <c r="B36" s="3"/>
      <c r="C36" s="3"/>
      <c r="D36" s="3"/>
      <c r="E36" s="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0.25" customHeight="1">
      <c r="A37" s="34" t="s">
        <v>41</v>
      </c>
      <c r="B37" s="3"/>
      <c r="C37" s="3"/>
      <c r="D37" s="3"/>
      <c r="E37" s="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0.25" customHeight="1">
      <c r="A38" s="34" t="s">
        <v>42</v>
      </c>
      <c r="B38" s="3"/>
      <c r="C38" s="3"/>
      <c r="D38" s="3"/>
      <c r="E38" s="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0.25" customHeight="1">
      <c r="A39" s="34" t="s">
        <v>43</v>
      </c>
      <c r="B39" s="3"/>
      <c r="C39" s="3"/>
      <c r="D39" s="3"/>
      <c r="E39" s="4"/>
      <c r="F39" s="34"/>
      <c r="G39" s="3"/>
      <c r="H39" s="3"/>
      <c r="I39" s="3"/>
      <c r="J39" s="4"/>
      <c r="K39" s="34"/>
      <c r="L39" s="3"/>
      <c r="M39" s="3"/>
      <c r="N39" s="3"/>
      <c r="O39" s="4"/>
      <c r="P39" s="34"/>
      <c r="Q39" s="3"/>
      <c r="R39" s="3"/>
      <c r="S39" s="3"/>
      <c r="T39" s="4"/>
      <c r="U39" s="34"/>
      <c r="V39" s="3"/>
      <c r="W39" s="3"/>
      <c r="X39" s="3"/>
      <c r="Y39" s="4"/>
      <c r="Z39" s="14"/>
    </row>
    <row r="40" ht="20.25" customHeight="1">
      <c r="A40" s="34" t="s">
        <v>44</v>
      </c>
      <c r="B40" s="3"/>
      <c r="C40" s="3"/>
      <c r="D40" s="3"/>
      <c r="E40" s="4"/>
      <c r="F40" s="34"/>
      <c r="G40" s="3"/>
      <c r="H40" s="3"/>
      <c r="I40" s="3"/>
      <c r="J40" s="4"/>
      <c r="K40" s="34"/>
      <c r="L40" s="3"/>
      <c r="M40" s="3"/>
      <c r="N40" s="3"/>
      <c r="O40" s="4"/>
      <c r="P40" s="34"/>
      <c r="Q40" s="3"/>
      <c r="R40" s="3"/>
      <c r="S40" s="3"/>
      <c r="T40" s="4"/>
      <c r="U40" s="34"/>
      <c r="V40" s="3"/>
      <c r="W40" s="3"/>
      <c r="X40" s="3"/>
      <c r="Y40" s="4"/>
      <c r="Z40" s="14"/>
    </row>
    <row r="41" ht="20.25" customHeight="1">
      <c r="A41" s="34" t="s">
        <v>45</v>
      </c>
      <c r="B41" s="3"/>
      <c r="C41" s="3"/>
      <c r="D41" s="3"/>
      <c r="E41" s="4"/>
      <c r="F41" s="34"/>
      <c r="G41" s="3"/>
      <c r="H41" s="3"/>
      <c r="I41" s="3"/>
      <c r="J41" s="4"/>
      <c r="K41" s="34"/>
      <c r="L41" s="3"/>
      <c r="M41" s="3"/>
      <c r="N41" s="3"/>
      <c r="O41" s="4"/>
      <c r="P41" s="34"/>
      <c r="Q41" s="3"/>
      <c r="R41" s="3"/>
      <c r="S41" s="3"/>
      <c r="T41" s="4"/>
      <c r="U41" s="34"/>
      <c r="V41" s="3"/>
      <c r="W41" s="3"/>
      <c r="X41" s="3"/>
      <c r="Y41" s="4"/>
      <c r="Z41" s="14"/>
    </row>
    <row r="42" ht="20.25" customHeight="1">
      <c r="A42" s="34" t="s">
        <v>46</v>
      </c>
      <c r="B42" s="3"/>
      <c r="C42" s="3"/>
      <c r="D42" s="3"/>
      <c r="E42" s="4"/>
      <c r="F42" s="14"/>
      <c r="G42" s="14"/>
      <c r="H42" s="14"/>
      <c r="I42" s="14"/>
      <c r="J42" s="14"/>
      <c r="K42" s="14"/>
      <c r="L42" s="4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0.25" customHeight="1">
      <c r="A43" s="34" t="s">
        <v>47</v>
      </c>
      <c r="B43" s="3"/>
      <c r="C43" s="3"/>
      <c r="D43" s="3"/>
      <c r="E43" s="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0.25" customHeight="1">
      <c r="A44" s="34" t="s">
        <v>48</v>
      </c>
      <c r="B44" s="3"/>
      <c r="C44" s="3"/>
      <c r="D44" s="3"/>
      <c r="E44" s="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0.25" customHeight="1">
      <c r="A45" s="34" t="s">
        <v>49</v>
      </c>
      <c r="B45" s="3"/>
      <c r="C45" s="3"/>
      <c r="D45" s="3"/>
      <c r="E45" s="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0.25" customHeight="1">
      <c r="A46" s="41"/>
      <c r="B46" s="3"/>
      <c r="C46" s="3"/>
      <c r="D46" s="3"/>
      <c r="E46" s="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0.25" customHeight="1">
      <c r="A47" s="35" t="s">
        <v>50</v>
      </c>
      <c r="B47" s="3"/>
      <c r="C47" s="3"/>
      <c r="D47" s="3"/>
      <c r="E47" s="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0.25" customHeight="1">
      <c r="A48" s="34" t="s">
        <v>51</v>
      </c>
      <c r="B48" s="3"/>
      <c r="C48" s="3"/>
      <c r="D48" s="3"/>
      <c r="E48" s="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0.25" customHeight="1">
      <c r="A49" s="34" t="s">
        <v>52</v>
      </c>
      <c r="B49" s="3"/>
      <c r="C49" s="3"/>
      <c r="D49" s="3"/>
      <c r="E49" s="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0.25" customHeight="1">
      <c r="A50" s="34" t="s">
        <v>53</v>
      </c>
      <c r="B50" s="3"/>
      <c r="C50" s="3"/>
      <c r="D50" s="3"/>
      <c r="E50" s="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0.25" customHeight="1">
      <c r="A51" s="23"/>
      <c r="B51" s="3"/>
      <c r="C51" s="3"/>
      <c r="D51" s="3"/>
      <c r="E51" s="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</sheetData>
  <mergeCells count="60">
    <mergeCell ref="B25:E25"/>
    <mergeCell ref="B26:E26"/>
    <mergeCell ref="B27:E27"/>
    <mergeCell ref="B28:E28"/>
    <mergeCell ref="B29:E29"/>
    <mergeCell ref="A30:E30"/>
    <mergeCell ref="B31:E31"/>
    <mergeCell ref="B32:D32"/>
    <mergeCell ref="B33:D33"/>
    <mergeCell ref="B34:D34"/>
    <mergeCell ref="A35:E35"/>
    <mergeCell ref="A36:E36"/>
    <mergeCell ref="A37:E37"/>
    <mergeCell ref="A38:E38"/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18:E18"/>
    <mergeCell ref="B19:E19"/>
    <mergeCell ref="B20:E20"/>
    <mergeCell ref="B21:E21"/>
    <mergeCell ref="B22:E22"/>
    <mergeCell ref="B23:E23"/>
    <mergeCell ref="A24:E24"/>
    <mergeCell ref="P40:T40"/>
    <mergeCell ref="U40:Y40"/>
    <mergeCell ref="A39:E39"/>
    <mergeCell ref="F39:J39"/>
    <mergeCell ref="K39:O39"/>
    <mergeCell ref="P39:T39"/>
    <mergeCell ref="U39:Y39"/>
    <mergeCell ref="F40:J40"/>
    <mergeCell ref="K40:O40"/>
    <mergeCell ref="A40:E40"/>
    <mergeCell ref="A41:E41"/>
    <mergeCell ref="F41:J41"/>
    <mergeCell ref="K41:O41"/>
    <mergeCell ref="P41:T41"/>
    <mergeCell ref="U41:Y41"/>
    <mergeCell ref="A49:E49"/>
    <mergeCell ref="A50:E50"/>
    <mergeCell ref="A51:E51"/>
    <mergeCell ref="A42:E42"/>
    <mergeCell ref="A43:E43"/>
    <mergeCell ref="A44:E44"/>
    <mergeCell ref="A45:E45"/>
    <mergeCell ref="A46:E46"/>
    <mergeCell ref="A47:E47"/>
    <mergeCell ref="A48:E48"/>
  </mergeCells>
  <printOptions/>
  <pageMargins bottom="0.7480314960629921" footer="0.0" header="0.0" left="0.7086614173228347" right="0.7086614173228347" top="0.7480314960629921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