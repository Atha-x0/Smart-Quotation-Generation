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unilever.sharepoint.com/sites/GEPULCoreteam/Shared Documents/UL Sharepoint 2.0/2. Cluster/2. S.Asia/0. Job Shadowing &amp; Hypercare/Mrutyunjay_Above clip_S.Asia/CMP_SA_2025_1483/"/>
    </mc:Choice>
  </mc:AlternateContent>
  <xr:revisionPtr revIDLastSave="0" documentId="8_{859DEE10-9056-4814-A962-19ECA2D196D4}" xr6:coauthVersionLast="47" xr6:coauthVersionMax="47" xr10:uidLastSave="{00000000-0000-0000-0000-000000000000}"/>
  <bookViews>
    <workbookView xWindow="-110" yWindow="-110" windowWidth="19420" windowHeight="10300" activeTab="1" xr2:uid="{00000000-000D-0000-FFFF-FFFF00000000}"/>
  </bookViews>
  <sheets>
    <sheet name="Data Sheet" sheetId="1" r:id="rId1"/>
    <sheet name="Requirement" sheetId="3" r:id="rId2"/>
  </sheets>
  <definedNames>
    <definedName name="_xlnm._FilterDatabase" localSheetId="1" hidden="1">Requirement!$B$2:$G$9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3" l="1"/>
  <c r="H12" i="3"/>
  <c r="H11" i="3"/>
  <c r="H10" i="3"/>
  <c r="H9" i="3"/>
  <c r="H14" i="3" s="1"/>
  <c r="H8" i="3"/>
  <c r="H7" i="3"/>
  <c r="H6" i="3"/>
</calcChain>
</file>

<file path=xl/sharedStrings.xml><?xml version="1.0" encoding="utf-8"?>
<sst xmlns="http://schemas.openxmlformats.org/spreadsheetml/2006/main" count="78" uniqueCount="62">
  <si>
    <t>Sr.</t>
  </si>
  <si>
    <t>Belt Drive or Direct Mount Motor</t>
  </si>
  <si>
    <t>VFD Provided (Yes/No)</t>
  </si>
  <si>
    <t>Installed Motor RPM</t>
  </si>
  <si>
    <t xml:space="preserve">Measured Motor input KW </t>
  </si>
  <si>
    <t>VFD Operating Frequency</t>
  </si>
  <si>
    <t>Operating Hours/Day</t>
  </si>
  <si>
    <t>Operating Days/Annum</t>
  </si>
  <si>
    <t>Year of Installation</t>
  </si>
  <si>
    <t>Design Flow, CFM</t>
  </si>
  <si>
    <t>Motor Efficiency Class, IE1/IE2/IE3</t>
  </si>
  <si>
    <t>AHU/Air Washer/ FDV/ Equipment Identification</t>
  </si>
  <si>
    <t>Motor Efficieny Value, %</t>
  </si>
  <si>
    <t>Total Installed Motor KW</t>
  </si>
  <si>
    <t>No. of Fan in AHU</t>
  </si>
  <si>
    <t>Belt Drive</t>
  </si>
  <si>
    <t>Location</t>
  </si>
  <si>
    <t>Yes</t>
  </si>
  <si>
    <t>-</t>
  </si>
  <si>
    <t>S. No</t>
  </si>
  <si>
    <t>Item Description</t>
  </si>
  <si>
    <t>Specifications</t>
  </si>
  <si>
    <t>Quantity</t>
  </si>
  <si>
    <t>Article No</t>
  </si>
  <si>
    <t>Unit Price</t>
  </si>
  <si>
    <t>Total Cost</t>
  </si>
  <si>
    <t>Installation &amp; Commissioning</t>
  </si>
  <si>
    <t>P&amp;F</t>
  </si>
  <si>
    <t>Freight</t>
  </si>
  <si>
    <t>Total</t>
  </si>
  <si>
    <t>Measured Flow CFM</t>
  </si>
  <si>
    <t>Measured Static mmWC</t>
  </si>
  <si>
    <t>Design Data</t>
  </si>
  <si>
    <t>Measured Data</t>
  </si>
  <si>
    <t>Closeloop Controller / VFD Panel</t>
  </si>
  <si>
    <t>Technical Specification</t>
  </si>
  <si>
    <t>Scope of Supply</t>
  </si>
  <si>
    <r>
      <t>Scope of i</t>
    </r>
    <r>
      <rPr>
        <i/>
        <sz val="11"/>
        <color theme="1"/>
        <rFont val="Calibri"/>
        <family val="2"/>
        <scheme val="minor"/>
      </rPr>
      <t>nstallation</t>
    </r>
  </si>
  <si>
    <t>Check requirement sheet for required technical specification, scope of supply and installation</t>
  </si>
  <si>
    <t>AHU 4</t>
  </si>
  <si>
    <t>AHU 5</t>
  </si>
  <si>
    <t>AHU 6</t>
  </si>
  <si>
    <t>AHU 7</t>
  </si>
  <si>
    <t>PP GOAT mixer area &amp; Sankalp packaging</t>
  </si>
  <si>
    <t>PP LP Process</t>
  </si>
  <si>
    <t xml:space="preserve">PP LP Packaging </t>
  </si>
  <si>
    <t>Design Static Pressure (pascal)</t>
  </si>
  <si>
    <t>Consider Design Data</t>
  </si>
  <si>
    <t>Unit Rate BDT/KWH</t>
  </si>
  <si>
    <t>N/A</t>
  </si>
  <si>
    <t>AHU-4</t>
  </si>
  <si>
    <r>
      <t xml:space="preserve">Technical Specifications
1.	Fan Type: High-efficiency backward curve aerofoil design EC Fan / Axial Fan
2.	Impeller Material: ZAmid / Aluminium GRP
3.	Motor Efficiency Class: IE5 </t>
    </r>
    <r>
      <rPr>
        <b/>
        <i/>
        <u/>
        <sz val="12"/>
        <color theme="1"/>
        <rFont val="Calibri"/>
        <family val="2"/>
        <scheme val="minor"/>
      </rPr>
      <t>(inbuild vfd)</t>
    </r>
    <r>
      <rPr>
        <sz val="11"/>
        <color theme="1"/>
        <rFont val="Calibri"/>
        <family val="2"/>
        <scheme val="minor"/>
      </rPr>
      <t xml:space="preserve">
4.	Operating Voltage: 400V, 3 Phase, 50Hz
5.	Control Type: Integrated speed control via 0–10V or Modbus / VFD control
6.	VFD: Danfoss or equivalent
7.	Electrical Panel: Rittal or equivalent
8.	IP Rating: Minimum </t>
    </r>
    <r>
      <rPr>
        <b/>
        <i/>
        <sz val="12"/>
        <color theme="1"/>
        <rFont val="Calibri"/>
        <family val="2"/>
        <scheme val="minor"/>
      </rPr>
      <t>IP55</t>
    </r>
    <r>
      <rPr>
        <sz val="11"/>
        <color theme="1"/>
        <rFont val="Calibri"/>
        <family val="2"/>
        <scheme val="minor"/>
      </rPr>
      <t xml:space="preserve"> (Fan Enclosure)
9.	Electrical Connector Safety Rating: IP65
10.	Wiring: Plug-and-play connectors for ease of installation
11.	Control Automation: Provision for automatic fan speed control based on temperature or pressure feedback
12.	BMS Integration: Fully compatible with existing or proposed Building Management System (BMS); supports display and monitoring of real-time operating parameters
13.	Delivery Timeline: 8–10 weeks from the date of order confirmation
14.	Energy Savings Guarantee: </t>
    </r>
    <r>
      <rPr>
        <b/>
        <i/>
        <sz val="12"/>
        <color theme="1"/>
        <rFont val="Calibri"/>
        <family val="2"/>
        <scheme val="minor"/>
      </rPr>
      <t>Minimum 40% energy savings</t>
    </r>
    <r>
      <rPr>
        <sz val="11"/>
        <color theme="1"/>
        <rFont val="Calibri"/>
        <family val="2"/>
        <scheme val="minor"/>
      </rPr>
      <t xml:space="preserve">, validated with before-and-after retrofit measurement data
15.	Local Support: Availability of local service and support in Bangladesh
16.	Warranty: Comprehensive 2-year warranty on supplied components
 </t>
    </r>
  </si>
  <si>
    <t>AHU-5</t>
  </si>
  <si>
    <t>AHU-6</t>
  </si>
  <si>
    <t>AHU-7</t>
  </si>
  <si>
    <t>Flow -15000 , Static - 1300 pascal</t>
  </si>
  <si>
    <t>Flow -26000 , Static - 1300 pascal</t>
  </si>
  <si>
    <t>Flow -24000 , Static - 1200 pascal</t>
  </si>
  <si>
    <t>Flow -28000 , Static - 1200 pascal</t>
  </si>
  <si>
    <t>IE2</t>
  </si>
  <si>
    <t>Scope of Supply
1.	Fan motor set (EC Fan / Axial Fan with IE5 motor)
2.	Pressure or temperature sensor and controller / VFD panel
3.	Structural support/modifications required for integration with existing air washer units
4.	Power and communication cables
5.	Installation accessories: Saddle clips, cable ties, thimbles, etc.
6.	TriBox, cable glands, and connectors
7.	Cable trays.
8.	Dismantling of existing fan and motor assembly
9.	Shifting dismantled components to the designated scrap yard</t>
  </si>
  <si>
    <r>
      <t xml:space="preserve">Scope of Installation
1.	Measurement of baseline parameters:
o	Airflow (CFM)
o	Static pressure </t>
    </r>
    <r>
      <rPr>
        <b/>
        <i/>
        <sz val="12"/>
        <color theme="1"/>
        <rFont val="Calibri"/>
        <family val="2"/>
        <scheme val="minor"/>
      </rPr>
      <t>(Pascal)</t>
    </r>
    <r>
      <rPr>
        <sz val="11"/>
        <color theme="1"/>
        <rFont val="Calibri"/>
        <family val="2"/>
        <scheme val="minor"/>
      </rPr>
      <t xml:space="preserve">
o	Motor power consumption (kW)
2.	Supervision for Installation of new high-efficiency fan motor set
3.	Supervision for Installation of sensors, controllers, or VFD panel as applicable
4.	Supervision for Complete installation of power and control wiring, including cable trays within air washer units
5.	Commissioning of newly installed fans
6.	Verification of airflow and static pressure to match or exceed baseline performance
7.	Establishment and documentation of minimum 35% energy savings post-retrofit, maintaining equivalent or improved delivery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</si>
</sst>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theme="1"/>
      <name val="Unilever DIN Offc Pro"/>
      <family val="2"/>
    </font>
    <font>
      <sz val="8"/>
      <name val="Calibri"/>
      <family val="2"/>
      <scheme val="minor"/>
    </font>
    <font>
      <i/>
      <sz val="11"/>
      <color theme="1"/>
      <name val="Calibri"/>
      <family val="2"/>
      <scheme val="minor"/>
    </font>
    <font>
      <b/>
      <i/>
      <sz val="12"/>
      <color theme="1"/>
      <name val="Calibri"/>
      <family val="2"/>
      <scheme val="minor"/>
    </font>
    <font>
      <b/>
      <i/>
      <u/>
      <sz val="12"/>
      <color theme="1"/>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4">
    <xf numFmtId="0" fontId="0" fillId="0" borderId="0" xfId="0"/>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justify" vertical="center" wrapText="1"/>
    </xf>
    <xf numFmtId="0" fontId="0" fillId="0" borderId="1" xfId="0" applyBorder="1" applyAlignment="1">
      <alignment horizontal="left" vertical="center"/>
    </xf>
    <xf numFmtId="0" fontId="0" fillId="3" borderId="1" xfId="0" applyFill="1" applyBorder="1" applyAlignment="1">
      <alignment vertical="center"/>
    </xf>
    <xf numFmtId="0" fontId="0" fillId="0" borderId="1" xfId="0" applyBorder="1" applyAlignment="1">
      <alignment horizontal="center"/>
    </xf>
    <xf numFmtId="0" fontId="0" fillId="3" borderId="1" xfId="0" applyFill="1" applyBorder="1" applyAlignment="1">
      <alignment horizontal="center" vertical="center"/>
    </xf>
    <xf numFmtId="0" fontId="0" fillId="0" borderId="1" xfId="0" applyBorder="1" applyAlignment="1">
      <alignment horizontal="left"/>
    </xf>
    <xf numFmtId="0" fontId="0" fillId="0" borderId="1" xfId="0" applyBorder="1" applyAlignment="1">
      <alignment vertical="center"/>
    </xf>
    <xf numFmtId="0" fontId="1" fillId="3" borderId="1" xfId="0" applyFont="1" applyFill="1" applyBorder="1" applyAlignment="1">
      <alignment horizontal="center" vertical="center"/>
    </xf>
    <xf numFmtId="0" fontId="0" fillId="0" borderId="0" xfId="0" applyAlignment="1">
      <alignment horizontal="left"/>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9" fontId="0" fillId="4" borderId="1" xfId="0" applyNumberFormat="1" applyFill="1" applyBorder="1" applyAlignment="1">
      <alignment horizontal="center" vertical="center"/>
    </xf>
    <xf numFmtId="0" fontId="1" fillId="0" borderId="1" xfId="0" applyFont="1" applyBorder="1" applyAlignment="1">
      <alignment vertical="center"/>
    </xf>
    <xf numFmtId="0" fontId="0" fillId="0" borderId="1" xfId="0" applyBorder="1" applyAlignment="1">
      <alignment horizontal="center" vertical="center" wrapText="1"/>
    </xf>
    <xf numFmtId="2" fontId="0" fillId="4" borderId="1" xfId="0" applyNumberFormat="1" applyFill="1" applyBorder="1" applyAlignment="1">
      <alignment horizontal="center" vertical="center"/>
    </xf>
    <xf numFmtId="0" fontId="1" fillId="5" borderId="0" xfId="0" applyFont="1" applyFill="1" applyAlignment="1">
      <alignment horizontal="left" vertical="center"/>
    </xf>
    <xf numFmtId="0" fontId="1" fillId="4" borderId="1" xfId="0" applyFont="1"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8"/>
  <sheetViews>
    <sheetView zoomScaleNormal="100" workbookViewId="0">
      <selection activeCell="E2" sqref="E2"/>
    </sheetView>
  </sheetViews>
  <sheetFormatPr defaultColWidth="8.81640625" defaultRowHeight="14.5"/>
  <cols>
    <col min="1" max="1" width="5.453125" customWidth="1"/>
    <col min="2" max="2" width="15.81640625" customWidth="1"/>
    <col min="3" max="3" width="19.90625" customWidth="1"/>
    <col min="4" max="4" width="11.1796875" customWidth="1"/>
    <col min="5" max="5" width="11.453125" customWidth="1"/>
    <col min="6" max="7" width="10.1796875" customWidth="1"/>
    <col min="8" max="8" width="9.1796875" bestFit="1" customWidth="1"/>
    <col min="9" max="9" width="8.1796875" bestFit="1" customWidth="1"/>
    <col min="10" max="10" width="8" bestFit="1" customWidth="1"/>
    <col min="11" max="11" width="9.81640625" bestFit="1" customWidth="1"/>
    <col min="12" max="12" width="17.6328125" bestFit="1" customWidth="1"/>
    <col min="13" max="16" width="10.1796875" customWidth="1"/>
    <col min="17" max="17" width="10.36328125" customWidth="1"/>
    <col min="18" max="18" width="10.453125" customWidth="1"/>
    <col min="19" max="19" width="12.81640625" customWidth="1"/>
    <col min="20" max="20" width="11" customWidth="1"/>
  </cols>
  <sheetData>
    <row r="1" spans="1:20" s="4" customFormat="1">
      <c r="D1" s="26" t="s">
        <v>32</v>
      </c>
      <c r="E1" s="26"/>
      <c r="F1" s="26"/>
      <c r="G1" s="26"/>
      <c r="H1" s="26"/>
      <c r="I1" s="26"/>
      <c r="J1" s="26"/>
      <c r="K1" s="26"/>
      <c r="L1" s="26"/>
      <c r="M1" s="26"/>
      <c r="N1" s="26" t="s">
        <v>33</v>
      </c>
      <c r="O1" s="26"/>
      <c r="P1" s="26"/>
      <c r="Q1" s="26"/>
      <c r="R1" s="22"/>
      <c r="S1" s="22"/>
      <c r="T1" s="22"/>
    </row>
    <row r="2" spans="1:20" s="6" customFormat="1" ht="72.5">
      <c r="A2" s="5" t="s">
        <v>0</v>
      </c>
      <c r="B2" s="5" t="s">
        <v>11</v>
      </c>
      <c r="C2" s="5" t="s">
        <v>16</v>
      </c>
      <c r="D2" s="18" t="s">
        <v>8</v>
      </c>
      <c r="E2" s="18" t="s">
        <v>9</v>
      </c>
      <c r="F2" s="18" t="s">
        <v>46</v>
      </c>
      <c r="G2" s="18" t="s">
        <v>14</v>
      </c>
      <c r="H2" s="18" t="s">
        <v>13</v>
      </c>
      <c r="I2" s="18" t="s">
        <v>3</v>
      </c>
      <c r="J2" s="18" t="s">
        <v>12</v>
      </c>
      <c r="K2" s="18" t="s">
        <v>10</v>
      </c>
      <c r="L2" s="18" t="s">
        <v>1</v>
      </c>
      <c r="M2" s="18" t="s">
        <v>2</v>
      </c>
      <c r="N2" s="18" t="s">
        <v>5</v>
      </c>
      <c r="O2" s="18" t="s">
        <v>30</v>
      </c>
      <c r="P2" s="18" t="s">
        <v>31</v>
      </c>
      <c r="Q2" s="18" t="s">
        <v>4</v>
      </c>
      <c r="R2" s="5" t="s">
        <v>6</v>
      </c>
      <c r="S2" s="5" t="s">
        <v>7</v>
      </c>
      <c r="T2" s="5" t="s">
        <v>48</v>
      </c>
    </row>
    <row r="3" spans="1:20" s="3" customFormat="1" ht="29">
      <c r="A3" s="1">
        <v>1</v>
      </c>
      <c r="B3" s="1" t="s">
        <v>39</v>
      </c>
      <c r="C3" s="23" t="s">
        <v>43</v>
      </c>
      <c r="D3" s="19"/>
      <c r="E3" s="19">
        <v>26000</v>
      </c>
      <c r="F3" s="19">
        <v>1314</v>
      </c>
      <c r="G3" s="19">
        <v>1</v>
      </c>
      <c r="H3" s="20">
        <v>30</v>
      </c>
      <c r="I3" s="19">
        <v>1400</v>
      </c>
      <c r="J3" s="21">
        <v>0.93</v>
      </c>
      <c r="K3" s="19" t="s">
        <v>59</v>
      </c>
      <c r="L3" s="19" t="s">
        <v>15</v>
      </c>
      <c r="M3" s="19" t="s">
        <v>17</v>
      </c>
      <c r="N3" s="19" t="s">
        <v>49</v>
      </c>
      <c r="O3" s="27" t="s">
        <v>47</v>
      </c>
      <c r="P3" s="28"/>
      <c r="Q3" s="24">
        <v>27</v>
      </c>
      <c r="R3" s="1">
        <v>24</v>
      </c>
      <c r="S3" s="1">
        <v>348</v>
      </c>
      <c r="T3" s="1">
        <v>8.5</v>
      </c>
    </row>
    <row r="4" spans="1:20" s="3" customFormat="1">
      <c r="A4" s="1">
        <v>2</v>
      </c>
      <c r="B4" s="1" t="s">
        <v>40</v>
      </c>
      <c r="C4" s="1" t="s">
        <v>45</v>
      </c>
      <c r="D4" s="19"/>
      <c r="E4" s="19">
        <v>14910</v>
      </c>
      <c r="F4" s="19">
        <v>1296</v>
      </c>
      <c r="G4" s="19">
        <v>1</v>
      </c>
      <c r="H4" s="20">
        <v>15</v>
      </c>
      <c r="I4" s="19">
        <v>1400</v>
      </c>
      <c r="J4" s="21">
        <v>0.93</v>
      </c>
      <c r="K4" s="19" t="s">
        <v>59</v>
      </c>
      <c r="L4" s="19" t="s">
        <v>15</v>
      </c>
      <c r="M4" s="19" t="s">
        <v>17</v>
      </c>
      <c r="N4" s="19" t="s">
        <v>49</v>
      </c>
      <c r="O4" s="29"/>
      <c r="P4" s="30"/>
      <c r="Q4" s="24">
        <v>13.5</v>
      </c>
      <c r="R4" s="1">
        <v>24</v>
      </c>
      <c r="S4" s="1">
        <v>348</v>
      </c>
      <c r="T4" s="1">
        <v>8.5</v>
      </c>
    </row>
    <row r="5" spans="1:20" s="3" customFormat="1">
      <c r="A5" s="1">
        <v>3</v>
      </c>
      <c r="B5" s="1" t="s">
        <v>41</v>
      </c>
      <c r="C5" s="1" t="s">
        <v>44</v>
      </c>
      <c r="D5" s="19"/>
      <c r="E5" s="19">
        <v>24120</v>
      </c>
      <c r="F5" s="19">
        <v>1295</v>
      </c>
      <c r="G5" s="19">
        <v>1</v>
      </c>
      <c r="H5" s="20">
        <v>22</v>
      </c>
      <c r="I5" s="19">
        <v>1400</v>
      </c>
      <c r="J5" s="21">
        <v>0.93</v>
      </c>
      <c r="K5" s="19" t="s">
        <v>59</v>
      </c>
      <c r="L5" s="19" t="s">
        <v>15</v>
      </c>
      <c r="M5" s="19" t="s">
        <v>17</v>
      </c>
      <c r="N5" s="19" t="s">
        <v>49</v>
      </c>
      <c r="O5" s="29"/>
      <c r="P5" s="30"/>
      <c r="Q5" s="24">
        <v>19.8</v>
      </c>
      <c r="R5" s="1">
        <v>24</v>
      </c>
      <c r="S5" s="1">
        <v>348</v>
      </c>
      <c r="T5" s="1">
        <v>8.5</v>
      </c>
    </row>
    <row r="6" spans="1:20" s="3" customFormat="1">
      <c r="A6" s="1">
        <v>4</v>
      </c>
      <c r="B6" s="1" t="s">
        <v>42</v>
      </c>
      <c r="C6" s="1" t="s">
        <v>44</v>
      </c>
      <c r="D6" s="19"/>
      <c r="E6" s="19">
        <v>28550</v>
      </c>
      <c r="F6" s="19">
        <v>1294</v>
      </c>
      <c r="G6" s="19">
        <v>1</v>
      </c>
      <c r="H6" s="20">
        <v>30</v>
      </c>
      <c r="I6" s="19">
        <v>1400</v>
      </c>
      <c r="J6" s="21">
        <v>0.93</v>
      </c>
      <c r="K6" s="19" t="s">
        <v>59</v>
      </c>
      <c r="L6" s="19" t="s">
        <v>15</v>
      </c>
      <c r="M6" s="19" t="s">
        <v>17</v>
      </c>
      <c r="N6" s="19" t="s">
        <v>49</v>
      </c>
      <c r="O6" s="31"/>
      <c r="P6" s="32"/>
      <c r="Q6" s="24">
        <v>27</v>
      </c>
      <c r="R6" s="1">
        <v>24</v>
      </c>
      <c r="S6" s="1">
        <v>348</v>
      </c>
      <c r="T6" s="1">
        <v>8.5</v>
      </c>
    </row>
    <row r="8" spans="1:20">
      <c r="A8" s="25" t="s">
        <v>38</v>
      </c>
      <c r="B8" s="25"/>
      <c r="C8" s="25"/>
      <c r="D8" s="25"/>
      <c r="E8" s="25"/>
      <c r="F8" s="25"/>
      <c r="G8" s="25"/>
      <c r="J8" s="3"/>
      <c r="K8" s="3"/>
    </row>
  </sheetData>
  <mergeCells count="4">
    <mergeCell ref="A8:G8"/>
    <mergeCell ref="D1:M1"/>
    <mergeCell ref="N1:Q1"/>
    <mergeCell ref="O3:P6"/>
  </mergeCells>
  <phoneticPr fontId="3" type="noConversion"/>
  <pageMargins left="0.25" right="0.25"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975C6-83F5-D446-94CE-F35AF0434B2A}">
  <dimension ref="B2:H14"/>
  <sheetViews>
    <sheetView tabSelected="1" zoomScale="78" zoomScaleNormal="100" workbookViewId="0">
      <pane ySplit="2" topLeftCell="A4" activePane="bottomLeft" state="frozen"/>
      <selection pane="bottomLeft" activeCell="D5" sqref="D5"/>
    </sheetView>
  </sheetViews>
  <sheetFormatPr defaultColWidth="8.81640625" defaultRowHeight="14.5"/>
  <cols>
    <col min="2" max="2" width="10.1796875" style="2" bestFit="1" customWidth="1"/>
    <col min="3" max="3" width="30.453125" style="2" bestFit="1" customWidth="1"/>
    <col min="4" max="4" width="137.6328125" style="17" customWidth="1"/>
    <col min="5" max="5" width="17.453125" style="17" bestFit="1" customWidth="1"/>
    <col min="6" max="6" width="17.453125" style="17" customWidth="1"/>
    <col min="7" max="7" width="17" bestFit="1" customWidth="1"/>
    <col min="8" max="8" width="13.453125" customWidth="1"/>
  </cols>
  <sheetData>
    <row r="2" spans="2:8">
      <c r="B2" s="7" t="s">
        <v>19</v>
      </c>
      <c r="C2" s="7" t="s">
        <v>20</v>
      </c>
      <c r="D2" s="7" t="s">
        <v>21</v>
      </c>
      <c r="E2" s="7" t="s">
        <v>22</v>
      </c>
      <c r="F2" s="7" t="s">
        <v>23</v>
      </c>
      <c r="G2" s="7" t="s">
        <v>24</v>
      </c>
      <c r="H2" s="7" t="s">
        <v>25</v>
      </c>
    </row>
    <row r="3" spans="2:8" ht="278.5">
      <c r="B3" s="8">
        <v>1</v>
      </c>
      <c r="C3" s="8" t="s">
        <v>35</v>
      </c>
      <c r="D3" s="9" t="s">
        <v>51</v>
      </c>
      <c r="E3" s="10"/>
      <c r="F3" s="10"/>
      <c r="G3" s="11"/>
      <c r="H3" s="13"/>
    </row>
    <row r="4" spans="2:8" ht="145">
      <c r="B4" s="8">
        <v>2</v>
      </c>
      <c r="C4" s="8" t="s">
        <v>36</v>
      </c>
      <c r="D4" s="9" t="s">
        <v>60</v>
      </c>
      <c r="E4" s="10"/>
      <c r="F4" s="10"/>
      <c r="G4" s="11"/>
      <c r="H4" s="13"/>
    </row>
    <row r="5" spans="2:8" ht="160.5">
      <c r="B5" s="8">
        <v>3</v>
      </c>
      <c r="C5" s="8" t="s">
        <v>37</v>
      </c>
      <c r="D5" s="9" t="s">
        <v>61</v>
      </c>
      <c r="E5" s="10"/>
      <c r="F5" s="10"/>
      <c r="G5" s="11"/>
      <c r="H5" s="13"/>
    </row>
    <row r="6" spans="2:8">
      <c r="B6" s="8">
        <v>4</v>
      </c>
      <c r="C6" s="12" t="s">
        <v>50</v>
      </c>
      <c r="D6" s="1" t="s">
        <v>56</v>
      </c>
      <c r="E6" s="10"/>
      <c r="F6" s="10"/>
      <c r="G6" s="11"/>
      <c r="H6" s="13">
        <f t="shared" ref="H6:H13" si="0">E6*G6</f>
        <v>0</v>
      </c>
    </row>
    <row r="7" spans="2:8">
      <c r="B7" s="8">
        <v>5</v>
      </c>
      <c r="C7" s="12" t="s">
        <v>52</v>
      </c>
      <c r="D7" s="1" t="s">
        <v>55</v>
      </c>
      <c r="E7" s="14"/>
      <c r="F7" s="14"/>
      <c r="G7" s="11"/>
      <c r="H7" s="13">
        <f t="shared" si="0"/>
        <v>0</v>
      </c>
    </row>
    <row r="8" spans="2:8">
      <c r="B8" s="8">
        <v>6</v>
      </c>
      <c r="C8" s="12" t="s">
        <v>53</v>
      </c>
      <c r="D8" s="1" t="s">
        <v>57</v>
      </c>
      <c r="E8" s="14"/>
      <c r="F8" s="14"/>
      <c r="G8" s="11"/>
      <c r="H8" s="13">
        <f t="shared" si="0"/>
        <v>0</v>
      </c>
    </row>
    <row r="9" spans="2:8">
      <c r="B9" s="8">
        <v>7</v>
      </c>
      <c r="C9" s="12" t="s">
        <v>54</v>
      </c>
      <c r="D9" s="1" t="s">
        <v>58</v>
      </c>
      <c r="E9" s="10"/>
      <c r="F9" s="10"/>
      <c r="G9" s="11"/>
      <c r="H9" s="13">
        <f t="shared" si="0"/>
        <v>0</v>
      </c>
    </row>
    <row r="10" spans="2:8">
      <c r="B10" s="8">
        <v>10</v>
      </c>
      <c r="C10" s="8" t="s">
        <v>34</v>
      </c>
      <c r="D10" s="1" t="s">
        <v>18</v>
      </c>
      <c r="E10" s="10"/>
      <c r="F10" s="10"/>
      <c r="G10" s="15"/>
      <c r="H10" s="13">
        <f t="shared" si="0"/>
        <v>0</v>
      </c>
    </row>
    <row r="11" spans="2:8">
      <c r="B11" s="8">
        <v>11</v>
      </c>
      <c r="C11" s="8" t="s">
        <v>26</v>
      </c>
      <c r="D11" s="1" t="s">
        <v>18</v>
      </c>
      <c r="E11" s="10"/>
      <c r="F11" s="10"/>
      <c r="G11" s="15"/>
      <c r="H11" s="13">
        <f t="shared" si="0"/>
        <v>0</v>
      </c>
    </row>
    <row r="12" spans="2:8">
      <c r="B12" s="8">
        <v>12</v>
      </c>
      <c r="C12" s="8" t="s">
        <v>27</v>
      </c>
      <c r="D12" s="1" t="s">
        <v>18</v>
      </c>
      <c r="E12" s="10"/>
      <c r="F12" s="10"/>
      <c r="G12" s="15"/>
      <c r="H12" s="13">
        <f t="shared" si="0"/>
        <v>0</v>
      </c>
    </row>
    <row r="13" spans="2:8">
      <c r="B13" s="8">
        <v>13</v>
      </c>
      <c r="C13" s="8" t="s">
        <v>28</v>
      </c>
      <c r="D13" s="1" t="s">
        <v>18</v>
      </c>
      <c r="E13" s="10"/>
      <c r="F13" s="10"/>
      <c r="G13" s="15"/>
      <c r="H13" s="13">
        <f t="shared" si="0"/>
        <v>0</v>
      </c>
    </row>
    <row r="14" spans="2:8">
      <c r="B14" s="33" t="s">
        <v>29</v>
      </c>
      <c r="C14" s="33"/>
      <c r="D14" s="33"/>
      <c r="E14" s="33"/>
      <c r="F14" s="33"/>
      <c r="G14" s="33"/>
      <c r="H14" s="16">
        <f>SUM(H3:H13)</f>
        <v>0</v>
      </c>
    </row>
  </sheetData>
  <autoFilter ref="B2:G9" xr:uid="{00000000-0009-0000-0000-000000000000}"/>
  <mergeCells count="1">
    <mergeCell ref="B14:G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e06fac6-d145-4a4c-868c-51e9c6ff47e0">
      <Terms xmlns="http://schemas.microsoft.com/office/infopath/2007/PartnerControls"/>
    </lcf76f155ced4ddcb4097134ff3c332f>
    <TaxCatchAll xmlns="d4317c12-03e8-4e80-84f8-b262321ca53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3680B3425944A4E8243F2E55D93A031" ma:contentTypeVersion="16" ma:contentTypeDescription="Create a new document." ma:contentTypeScope="" ma:versionID="3ecbfcdcc59d6974f62a6372dde414c5">
  <xsd:schema xmlns:xsd="http://www.w3.org/2001/XMLSchema" xmlns:xs="http://www.w3.org/2001/XMLSchema" xmlns:p="http://schemas.microsoft.com/office/2006/metadata/properties" xmlns:ns2="de06fac6-d145-4a4c-868c-51e9c6ff47e0" xmlns:ns3="d4317c12-03e8-4e80-84f8-b262321ca533" targetNamespace="http://schemas.microsoft.com/office/2006/metadata/properties" ma:root="true" ma:fieldsID="94cadf56d81422d0acdad31ec38c1e94" ns2:_="" ns3:_="">
    <xsd:import namespace="de06fac6-d145-4a4c-868c-51e9c6ff47e0"/>
    <xsd:import namespace="d4317c12-03e8-4e80-84f8-b262321ca5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06fac6-d145-4a4c-868c-51e9c6ff47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7f554e9-a963-4179-93d8-b97c1974018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317c12-03e8-4e80-84f8-b262321ca53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d72599c-da2d-45bf-bd0c-a938e7bc8f77}" ma:internalName="TaxCatchAll" ma:showField="CatchAllData" ma:web="d4317c12-03e8-4e80-84f8-b262321ca5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34C644-D54B-421A-AAC4-86422D5C9043}">
  <ds:schemaRefs>
    <ds:schemaRef ds:uri="http://schemas.microsoft.com/sharepoint/v3/contenttype/forms"/>
  </ds:schemaRefs>
</ds:datastoreItem>
</file>

<file path=customXml/itemProps2.xml><?xml version="1.0" encoding="utf-8"?>
<ds:datastoreItem xmlns:ds="http://schemas.openxmlformats.org/officeDocument/2006/customXml" ds:itemID="{A81AB332-11E0-49B1-B755-CC5F55957A34}">
  <ds:schemaRefs>
    <ds:schemaRef ds:uri="http://schemas.microsoft.com/office/2006/metadata/properties"/>
    <ds:schemaRef ds:uri="http://schemas.microsoft.com/office/infopath/2007/PartnerControls"/>
    <ds:schemaRef ds:uri="9078c29d-0369-4a4e-9a98-57a03d78936c"/>
    <ds:schemaRef ds:uri="292d0dc2-e599-4ea9-b5ef-33bfd71295c7"/>
  </ds:schemaRefs>
</ds:datastoreItem>
</file>

<file path=customXml/itemProps3.xml><?xml version="1.0" encoding="utf-8"?>
<ds:datastoreItem xmlns:ds="http://schemas.openxmlformats.org/officeDocument/2006/customXml" ds:itemID="{D69DAF94-3A5B-4151-9256-9F9E39C026F8}"/>
</file>

<file path=docMetadata/LabelInfo.xml><?xml version="1.0" encoding="utf-8"?>
<clbl:labelList xmlns:clbl="http://schemas.microsoft.com/office/2020/mipLabelMetadata">
  <clbl:label id="{89db4e91-bad5-4fd0-9ca4-c06485916e3a}" enabled="1" method="Standard" siteId="{f66fae02-5d36-495b-bfe0-78a6ff9f8e6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Sheet</vt:lpstr>
      <vt:lpstr>Requirement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Jitender</dc:creator>
  <cp:lastModifiedBy>panchal1, Hardik</cp:lastModifiedBy>
  <cp:lastPrinted>2025-06-17T09:40:38Z</cp:lastPrinted>
  <dcterms:created xsi:type="dcterms:W3CDTF">2021-06-05T05:38:35Z</dcterms:created>
  <dcterms:modified xsi:type="dcterms:W3CDTF">2025-06-20T10:49:52Z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0x01010033680B3425944A4E8243F2E55D93A031</vt:lpwstr>
  </property>
</Properties>
</file>