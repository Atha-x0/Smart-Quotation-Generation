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MF Area" sheetId="1" r:id="rId4"/>
    <sheet state="visible" name="LSMF-II Area" sheetId="2" r:id="rId5"/>
    <sheet state="visible" name="LSMF &amp; WH" sheetId="3" r:id="rId6"/>
  </sheets>
  <definedNames/>
  <calcPr/>
  <extLst>
    <ext uri="GoogleSheetsCustomDataVersion2">
      <go:sheetsCustomData xmlns:go="http://customooxmlschemas.google.com/" r:id="rId7" roundtripDataChecksum="fuAChmSbhfCp0pdCDbmPtDhNGGUwSUeX8F8fzHXQVzI="/>
    </ext>
  </extLst>
</workbook>
</file>

<file path=xl/sharedStrings.xml><?xml version="1.0" encoding="utf-8"?>
<sst xmlns="http://schemas.openxmlformats.org/spreadsheetml/2006/main" count="875" uniqueCount="484">
  <si>
    <t>Tariff Rs./unit</t>
  </si>
  <si>
    <t>Sr.No</t>
  </si>
  <si>
    <t>AHU NO.</t>
  </si>
  <si>
    <t>Equipment ID</t>
  </si>
  <si>
    <t>Area</t>
  </si>
  <si>
    <t>Capacity</t>
  </si>
  <si>
    <t>Static Pressure (MMWC)</t>
  </si>
  <si>
    <t>Blower Type</t>
  </si>
  <si>
    <t>Model</t>
  </si>
  <si>
    <t>FAN Design RPM</t>
  </si>
  <si>
    <t>Motor Details</t>
  </si>
  <si>
    <t>Motor KW</t>
  </si>
  <si>
    <t>Efficiency %</t>
  </si>
  <si>
    <t xml:space="preserve">IE Rating </t>
  </si>
  <si>
    <t>Notes</t>
  </si>
  <si>
    <t>Motor Frame Size</t>
  </si>
  <si>
    <t>Measured Power, kW</t>
  </si>
  <si>
    <t>Motor type FLP/NFLP</t>
  </si>
  <si>
    <t>Working Hours</t>
  </si>
  <si>
    <t>Working days/year</t>
  </si>
  <si>
    <t>VFD Available (Yes/No)</t>
  </si>
  <si>
    <t>VFD Frequency, Hz</t>
  </si>
  <si>
    <t>AHU-21</t>
  </si>
  <si>
    <t>MT/EQ/044</t>
  </si>
  <si>
    <t>Main Corrdior</t>
  </si>
  <si>
    <t>Centrifugal DIDW Backward Curve</t>
  </si>
  <si>
    <t>BDB 355 CM</t>
  </si>
  <si>
    <t>5.0 HP/2875 RPM</t>
  </si>
  <si>
    <t>Not Found</t>
  </si>
  <si>
    <t>AHU-26</t>
  </si>
  <si>
    <t>MT/EQ/382</t>
  </si>
  <si>
    <t>Granulation-I</t>
  </si>
  <si>
    <t xml:space="preserve">Plug Type back Curved </t>
  </si>
  <si>
    <t>Detail Not Available</t>
  </si>
  <si>
    <t>20.0 HP/</t>
  </si>
  <si>
    <t>IE2</t>
  </si>
  <si>
    <t>Motor RPM Required</t>
  </si>
  <si>
    <t>AHU-27</t>
  </si>
  <si>
    <t>MT/EQ/383</t>
  </si>
  <si>
    <t>Granulation-II</t>
  </si>
  <si>
    <t>AHU-28</t>
  </si>
  <si>
    <t>MT/EQ/384</t>
  </si>
  <si>
    <t>Corridor SSMF-II</t>
  </si>
  <si>
    <t>BDB 400 CM</t>
  </si>
  <si>
    <t>7.5 HP/2880 RPM</t>
  </si>
  <si>
    <t>IE1</t>
  </si>
  <si>
    <t>AHU-29</t>
  </si>
  <si>
    <t>MT/EQ/385</t>
  </si>
  <si>
    <t>Paste/Solution Preparation Room</t>
  </si>
  <si>
    <t>3.0 HP/2830 RPM</t>
  </si>
  <si>
    <t>AHU-30</t>
  </si>
  <si>
    <t>MT/EQ/386</t>
  </si>
  <si>
    <t>Compression-I</t>
  </si>
  <si>
    <t>BNA-400</t>
  </si>
  <si>
    <t>AHU-31</t>
  </si>
  <si>
    <t>MT/EQ/387</t>
  </si>
  <si>
    <t>Coating-I (SSMF-II)</t>
  </si>
  <si>
    <t>BDB 450 CM</t>
  </si>
  <si>
    <t>7.5 HP/1450 RPM</t>
  </si>
  <si>
    <t>IE3</t>
  </si>
  <si>
    <t>AHU-32</t>
  </si>
  <si>
    <t>MT/EQ/388</t>
  </si>
  <si>
    <t>Unclenaed  &amp; Washing Area</t>
  </si>
  <si>
    <t>1.5 HP/2830 RPM</t>
  </si>
  <si>
    <t>Supply</t>
  </si>
  <si>
    <t>Retun</t>
  </si>
  <si>
    <t>AHU-33</t>
  </si>
  <si>
    <t>MT/EQ/402</t>
  </si>
  <si>
    <t>Archival Room</t>
  </si>
  <si>
    <t>R63D-HVAC 800</t>
  </si>
  <si>
    <t>25 HP/</t>
  </si>
  <si>
    <t>AHU-34</t>
  </si>
  <si>
    <t>MT/EQ/403</t>
  </si>
  <si>
    <t>Reserve Sampler Room</t>
  </si>
  <si>
    <t>R63D-HVAC 400</t>
  </si>
  <si>
    <t>AHU-35</t>
  </si>
  <si>
    <t>MT/EQ/441</t>
  </si>
  <si>
    <t>Coating-II, Coating-III  &amp; Imprinting</t>
  </si>
  <si>
    <t>BNB-P-500</t>
  </si>
  <si>
    <t>15.0 HP/2850 RPM</t>
  </si>
  <si>
    <t>AWD-36</t>
  </si>
  <si>
    <t>MT/EQ/442</t>
  </si>
  <si>
    <t>Blending-I  &amp; Blending-II</t>
  </si>
  <si>
    <t>DKNBW-710</t>
  </si>
  <si>
    <t>15.0 HP/1450 RPM</t>
  </si>
  <si>
    <t>AHU-37</t>
  </si>
  <si>
    <t>MT/EQ/455</t>
  </si>
  <si>
    <t>Male Change Room-III</t>
  </si>
  <si>
    <t>BNB-R-355</t>
  </si>
  <si>
    <t>AWD-38</t>
  </si>
  <si>
    <t>MT/EQ/470</t>
  </si>
  <si>
    <t>Compression-II</t>
  </si>
  <si>
    <t>R63-450-28</t>
  </si>
  <si>
    <t>10.0 HP/</t>
  </si>
  <si>
    <t>AHU-39</t>
  </si>
  <si>
    <t>MT/EQ/476</t>
  </si>
  <si>
    <t>QC Change Room  &amp; Corridor</t>
  </si>
  <si>
    <t>BNC-Q-400</t>
  </si>
  <si>
    <t>10.0 HP/2875 RPM</t>
  </si>
  <si>
    <t>AHU-40</t>
  </si>
  <si>
    <t>MT/EQ/477</t>
  </si>
  <si>
    <t>Media Preparation &amp; Cool Zone</t>
  </si>
  <si>
    <t>BNC-Q-450</t>
  </si>
  <si>
    <t>15.0 HP/2925 RPM</t>
  </si>
  <si>
    <t>AHU-41</t>
  </si>
  <si>
    <t>MT/EQ/478</t>
  </si>
  <si>
    <t>Microbiological Testing Room</t>
  </si>
  <si>
    <t>BNC-R-400</t>
  </si>
  <si>
    <t>7.5 HP/2875 RPM</t>
  </si>
  <si>
    <t>AHU-42</t>
  </si>
  <si>
    <t>MT/EQ/479</t>
  </si>
  <si>
    <t>Decontamination/Wahing Room</t>
  </si>
  <si>
    <t>BNC-P-400</t>
  </si>
  <si>
    <t>BNC-P-355</t>
  </si>
  <si>
    <t>AWD-43</t>
  </si>
  <si>
    <t>MT/EQ/488</t>
  </si>
  <si>
    <t>Blending-I</t>
  </si>
  <si>
    <t>RLC E6 3540</t>
  </si>
  <si>
    <t>7.5 HP/2935 RPM</t>
  </si>
  <si>
    <t>AWD-44</t>
  </si>
  <si>
    <t>MT/EQ/550</t>
  </si>
  <si>
    <t>Blending-III</t>
  </si>
  <si>
    <t>RLO E1 3540</t>
  </si>
  <si>
    <t>5.0 HP/2935 RPM</t>
  </si>
  <si>
    <t>AHU-45</t>
  </si>
  <si>
    <t>MT/EQ/566</t>
  </si>
  <si>
    <t>Corridor SSMF-I</t>
  </si>
  <si>
    <t>RLO-710</t>
  </si>
  <si>
    <t>15.0 HP/1465 RPM</t>
  </si>
  <si>
    <t>AHU-46</t>
  </si>
  <si>
    <t>MT/EQ/567</t>
  </si>
  <si>
    <t>Day Store/ in Process Store-II</t>
  </si>
  <si>
    <t>RLO-630</t>
  </si>
  <si>
    <t>10 HP/1455 RPM</t>
  </si>
  <si>
    <t>AHU-47</t>
  </si>
  <si>
    <t>MT/EQ/573</t>
  </si>
  <si>
    <t>Corridor</t>
  </si>
  <si>
    <t>EC Blower</t>
  </si>
  <si>
    <t>GKHM 500-CIB 160.6NA IE Gen3</t>
  </si>
  <si>
    <t>10 HP/2225 RPM</t>
  </si>
  <si>
    <t>IE-004</t>
  </si>
  <si>
    <t>MF-AHU-01</t>
  </si>
  <si>
    <t>MT/EQ/496</t>
  </si>
  <si>
    <t>Change Room</t>
  </si>
  <si>
    <t xml:space="preserve">Plug Type </t>
  </si>
  <si>
    <t>15 HP/2875 RPM</t>
  </si>
  <si>
    <t>MF-AHU-02</t>
  </si>
  <si>
    <t>MT/EQ/497</t>
  </si>
  <si>
    <t>IP54</t>
  </si>
  <si>
    <t>MF-AHU-03</t>
  </si>
  <si>
    <t>MT/EQ/498</t>
  </si>
  <si>
    <t>In Process Store</t>
  </si>
  <si>
    <t>5 HP/2875 RPM</t>
  </si>
  <si>
    <t>MF-AHU-05</t>
  </si>
  <si>
    <t>MT/EQ/500</t>
  </si>
  <si>
    <t>MF-AHU-06</t>
  </si>
  <si>
    <t>MT/EQ/501</t>
  </si>
  <si>
    <t>MF-AHU-07</t>
  </si>
  <si>
    <t>MT/EQ/502</t>
  </si>
  <si>
    <t>Clenaed Euipment Room</t>
  </si>
  <si>
    <t>MF-AHU-08</t>
  </si>
  <si>
    <t>MT/EQ/503</t>
  </si>
  <si>
    <t>Change Part Room</t>
  </si>
  <si>
    <t>BNC-Q-630</t>
  </si>
  <si>
    <t>7.5 HP/1475 RPM</t>
  </si>
  <si>
    <t>MF-AHU-09</t>
  </si>
  <si>
    <t>MT/EQ/504</t>
  </si>
  <si>
    <t>Blending-II</t>
  </si>
  <si>
    <t>MF-AHU-10</t>
  </si>
  <si>
    <t>MT/EQ/505</t>
  </si>
  <si>
    <t>BNC-Q-500</t>
  </si>
  <si>
    <t>20 HP/2875 RPM</t>
  </si>
  <si>
    <t>MF-AHU-11</t>
  </si>
  <si>
    <t>MT/EQ/506</t>
  </si>
  <si>
    <t>Sampling  &amp; Dispensing Area</t>
  </si>
  <si>
    <t>3 HP/2875 RPM</t>
  </si>
  <si>
    <t>MF-AHU-13</t>
  </si>
  <si>
    <t>MT/EQ/513</t>
  </si>
  <si>
    <t>QC Area</t>
  </si>
  <si>
    <t>RLO-E1-3540</t>
  </si>
  <si>
    <t>MF-AHU-14</t>
  </si>
  <si>
    <t>MT/EQ/561</t>
  </si>
  <si>
    <t xml:space="preserve">Washing  &amp; Uncleaned Equipment </t>
  </si>
  <si>
    <t>RLO-E1-3135</t>
  </si>
  <si>
    <t>MF-AHU-15</t>
  </si>
  <si>
    <t>MT/EQ/587</t>
  </si>
  <si>
    <t>Reserve Sample Room</t>
  </si>
  <si>
    <t>3.0 HP/2875 RPM</t>
  </si>
  <si>
    <t>MF-AHU-16</t>
  </si>
  <si>
    <t>MT/EQ/588</t>
  </si>
  <si>
    <t>Secondary Packaging Area</t>
  </si>
  <si>
    <t>15 HP/1465 RPM</t>
  </si>
  <si>
    <t>MF-AHU-17</t>
  </si>
  <si>
    <t>MT/EQ/589</t>
  </si>
  <si>
    <t>Primary Packaging Area</t>
  </si>
  <si>
    <t>VS-560</t>
  </si>
  <si>
    <t>7.5 HP/1449 RPM</t>
  </si>
  <si>
    <t>LSMF</t>
  </si>
  <si>
    <t>AHU GF - 01</t>
  </si>
  <si>
    <t>MT/EQ/107</t>
  </si>
  <si>
    <t>SECONDARY PACKING AREA</t>
  </si>
  <si>
    <t>90MMWC</t>
  </si>
  <si>
    <t xml:space="preserve">PLUG TYPE FAN </t>
  </si>
  <si>
    <t>BNA-800</t>
  </si>
  <si>
    <t>20 HP/1460 RPM</t>
  </si>
  <si>
    <t>AHU GF - 02</t>
  </si>
  <si>
    <t>MT/EQ/108</t>
  </si>
  <si>
    <t>PRIMARY PACKING - I</t>
  </si>
  <si>
    <t>130MMWC</t>
  </si>
  <si>
    <t>BNA-450</t>
  </si>
  <si>
    <t>10 HP/2880 RPM</t>
  </si>
  <si>
    <t>AHU GF - 03</t>
  </si>
  <si>
    <t>MT/EQ/109</t>
  </si>
  <si>
    <t>PRIMARY PACKING - II</t>
  </si>
  <si>
    <t>AHU GF - 04</t>
  </si>
  <si>
    <t>MT/EQ/110</t>
  </si>
  <si>
    <t>PRIMARY PACKING - III</t>
  </si>
  <si>
    <t>AHU GF - 05</t>
  </si>
  <si>
    <t>MT/EQ/112</t>
  </si>
  <si>
    <t>IN PROCESS BULK STAGING AREA</t>
  </si>
  <si>
    <t>AHU GF - 06</t>
  </si>
  <si>
    <t>MT/EQ/113</t>
  </si>
  <si>
    <t>CORRIDOR</t>
  </si>
  <si>
    <t>AHU GF - 07</t>
  </si>
  <si>
    <t>MT/EQ/114</t>
  </si>
  <si>
    <t>UNCLEAN CONTRINER STORAGE</t>
  </si>
  <si>
    <t>BNA-355</t>
  </si>
  <si>
    <t>5 HP/2850 RPM</t>
  </si>
  <si>
    <t>AHU GF - 08</t>
  </si>
  <si>
    <t>MT/EQ/116</t>
  </si>
  <si>
    <t xml:space="preserve">WASHING AREA </t>
  </si>
  <si>
    <t>3 HP/2830 RPM</t>
  </si>
  <si>
    <t>AHU GF - 09</t>
  </si>
  <si>
    <t>MT/EQ/117</t>
  </si>
  <si>
    <t>AHU GF - 10</t>
  </si>
  <si>
    <t>MT/EQ/118</t>
  </si>
  <si>
    <t>SORTING - VI</t>
  </si>
  <si>
    <t>3 HP/2850 RPM</t>
  </si>
  <si>
    <t>AHU GF - 13</t>
  </si>
  <si>
    <t>MT/EQ/122</t>
  </si>
  <si>
    <t>SECONDARY PACKING - IV</t>
  </si>
  <si>
    <t>AHU GF - 14</t>
  </si>
  <si>
    <t>MT/EQ/123</t>
  </si>
  <si>
    <t>MISCELLANEOUS STORAGE AREA</t>
  </si>
  <si>
    <t>AHU GF - 15</t>
  </si>
  <si>
    <t>MT/EQ/124</t>
  </si>
  <si>
    <t>RM FG STORAGE AREA - II</t>
  </si>
  <si>
    <t>15 HP/2920 RPM</t>
  </si>
  <si>
    <t>AHU GF - 15A</t>
  </si>
  <si>
    <t>MT/EQ/125</t>
  </si>
  <si>
    <t>RM FG STORAGE AREA - I</t>
  </si>
  <si>
    <t>AHU FF - 16</t>
  </si>
  <si>
    <t>MT/EQ/126</t>
  </si>
  <si>
    <t>FBP - III</t>
  </si>
  <si>
    <t>10 HP/2900 RPM</t>
  </si>
  <si>
    <t>AHU FF - 17</t>
  </si>
  <si>
    <t>MT/EQ/128</t>
  </si>
  <si>
    <t>FBP - II</t>
  </si>
  <si>
    <t>AHU FF - 18</t>
  </si>
  <si>
    <t>MT/EQ/129</t>
  </si>
  <si>
    <t>FBP - I</t>
  </si>
  <si>
    <t>AHU FF - 19</t>
  </si>
  <si>
    <t>MT/EQ/130</t>
  </si>
  <si>
    <t xml:space="preserve">BLENDING - III </t>
  </si>
  <si>
    <t>AHU FF - 20</t>
  </si>
  <si>
    <t>MT/EQ/131</t>
  </si>
  <si>
    <t>GRANULATION - III</t>
  </si>
  <si>
    <t>AHU FF - 21</t>
  </si>
  <si>
    <t>MT/EQ/133</t>
  </si>
  <si>
    <t>GRANULATION - II/BLENDING - II</t>
  </si>
  <si>
    <t>25 HP/1475 RPM</t>
  </si>
  <si>
    <t>AHU FF - 22</t>
  </si>
  <si>
    <t>MT/EQ/135</t>
  </si>
  <si>
    <t>GRANULATION - I/BLENDING -II</t>
  </si>
  <si>
    <t>AHU FF - 23</t>
  </si>
  <si>
    <t>MT/EQ/138</t>
  </si>
  <si>
    <t>COATING - I</t>
  </si>
  <si>
    <t>7.5 HP/2900 RPM</t>
  </si>
  <si>
    <t>AHU FF - 24</t>
  </si>
  <si>
    <t>MT/EQ/139</t>
  </si>
  <si>
    <t>COATING - II</t>
  </si>
  <si>
    <t>AHU FF - 25</t>
  </si>
  <si>
    <t>MT/EQ/140</t>
  </si>
  <si>
    <t>COATING - III</t>
  </si>
  <si>
    <t xml:space="preserve">           NO NAME PLATE</t>
  </si>
  <si>
    <t>Required motor nameplate data</t>
  </si>
  <si>
    <t>AHU FF - 26</t>
  </si>
  <si>
    <t>MT/EQ/142</t>
  </si>
  <si>
    <t>AHU FF - 27</t>
  </si>
  <si>
    <t>MT/EQ/143</t>
  </si>
  <si>
    <t>COMPERSSION - I/BIN FEEDING - I</t>
  </si>
  <si>
    <t>130MMwC</t>
  </si>
  <si>
    <t>AHU FF - 28</t>
  </si>
  <si>
    <t>MT/EQ/146</t>
  </si>
  <si>
    <t>COMPERSSION - II/BIN FEEDING - II</t>
  </si>
  <si>
    <t>AHU FF - 29</t>
  </si>
  <si>
    <t>MT/EQ/149</t>
  </si>
  <si>
    <t>COMPERSSION - III/BIN FEEDING - III</t>
  </si>
  <si>
    <t>AHU FF - 30</t>
  </si>
  <si>
    <t>MT/EQ/151</t>
  </si>
  <si>
    <t>COMPERSSION - IV/BIN FEEDING - IV</t>
  </si>
  <si>
    <t>AHU FF - 31</t>
  </si>
  <si>
    <t>MT/EQ/153</t>
  </si>
  <si>
    <t>COMPERSSION - V/BIN FEEDING - V</t>
  </si>
  <si>
    <t>AHU FF - 32</t>
  </si>
  <si>
    <t>MT/EQ/155</t>
  </si>
  <si>
    <t>CAPSULATION -III/BIN FEEDING - III</t>
  </si>
  <si>
    <t>AHU FF - 33</t>
  </si>
  <si>
    <t>MT/EQ/158</t>
  </si>
  <si>
    <t>CAPSULATION -II/BIN FEEDING - II</t>
  </si>
  <si>
    <t>AHU FF - 34</t>
  </si>
  <si>
    <t>MT/EQ/161</t>
  </si>
  <si>
    <t>AHU FF - 36</t>
  </si>
  <si>
    <t>MT/EQ/165</t>
  </si>
  <si>
    <t>IN PROCESS STORE - I</t>
  </si>
  <si>
    <t>AHU FF - 38</t>
  </si>
  <si>
    <t>MT/EQ/167</t>
  </si>
  <si>
    <t>SORTING - II,III,IV</t>
  </si>
  <si>
    <t>AHU FF - 39</t>
  </si>
  <si>
    <t>MT/EQ/168</t>
  </si>
  <si>
    <t>SORTING - I</t>
  </si>
  <si>
    <t>AHU FF - 40</t>
  </si>
  <si>
    <t>MT/EQ/170</t>
  </si>
  <si>
    <t>OFFICE</t>
  </si>
  <si>
    <t>AHU FF - 41</t>
  </si>
  <si>
    <t>MT/EQ/171</t>
  </si>
  <si>
    <t>BLENDING - IV</t>
  </si>
  <si>
    <t>AHU FF - 42</t>
  </si>
  <si>
    <t>MT/EQ/172</t>
  </si>
  <si>
    <t xml:space="preserve">DAY STORE </t>
  </si>
  <si>
    <t>AHU FF - 43</t>
  </si>
  <si>
    <t>MT/EQ/173</t>
  </si>
  <si>
    <t>AHU FF - 44</t>
  </si>
  <si>
    <t>MT/EQ/174</t>
  </si>
  <si>
    <t>GRANULATION - V</t>
  </si>
  <si>
    <t>AHU FF - 45</t>
  </si>
  <si>
    <t>MT/EQ/176</t>
  </si>
  <si>
    <t>AHU SF - 46</t>
  </si>
  <si>
    <t>MT/EQ/177</t>
  </si>
  <si>
    <t>AHU SF - 47</t>
  </si>
  <si>
    <t>MT/EQ/178</t>
  </si>
  <si>
    <t>BIN DRYING/BIN WASHING</t>
  </si>
  <si>
    <t>AHU FF - 51</t>
  </si>
  <si>
    <t>MT/EQ/183</t>
  </si>
  <si>
    <t>GRANULATION - VI</t>
  </si>
  <si>
    <t>AHU FF - 53</t>
  </si>
  <si>
    <t>MT/EQ/187</t>
  </si>
  <si>
    <t>AHU GF - 54</t>
  </si>
  <si>
    <t>MT/EQ/261</t>
  </si>
  <si>
    <t>CONNECTING BRIGE</t>
  </si>
  <si>
    <t>AHU FF - 63</t>
  </si>
  <si>
    <t>MT/EQ/377</t>
  </si>
  <si>
    <t>COATING - IV</t>
  </si>
  <si>
    <t>150MMWC</t>
  </si>
  <si>
    <t>BNB-Q-355,(II) (SPARK RESISTANCE)</t>
  </si>
  <si>
    <t>5 HP/2890 RPM</t>
  </si>
  <si>
    <t>AHU GF - 64</t>
  </si>
  <si>
    <t>MT/EQ/401</t>
  </si>
  <si>
    <t>DAY STORE (PACKING )</t>
  </si>
  <si>
    <t>AWD GF - 65</t>
  </si>
  <si>
    <t>MT/EQ/404</t>
  </si>
  <si>
    <t>PRIMARY PACKING - IV</t>
  </si>
  <si>
    <t>150MM WC</t>
  </si>
  <si>
    <t>DKNBW 710</t>
  </si>
  <si>
    <t>15 HP/1445 RPM</t>
  </si>
  <si>
    <t>AWD GF - 66</t>
  </si>
  <si>
    <t>MT/EQ/456</t>
  </si>
  <si>
    <t>INSPECTION ROOM - II</t>
  </si>
  <si>
    <t>DKNBW -355</t>
  </si>
  <si>
    <t>5 HP/2884 RPM</t>
  </si>
  <si>
    <t>AHU FF - 67</t>
  </si>
  <si>
    <t>MT/EQ/464</t>
  </si>
  <si>
    <t>CAPSULATION - IV/BIN FEEDING - IV</t>
  </si>
  <si>
    <t>BNB-P-450(II)</t>
  </si>
  <si>
    <t>10 HP/2885 RPM</t>
  </si>
  <si>
    <t>AWD GF - 68</t>
  </si>
  <si>
    <t>MT/EQ/473</t>
  </si>
  <si>
    <t xml:space="preserve"> PRIMARY SACHET PACKING  AREA</t>
  </si>
  <si>
    <t>150 MMWC</t>
  </si>
  <si>
    <t>LRHF-W-450</t>
  </si>
  <si>
    <t>AHU FF - 70</t>
  </si>
  <si>
    <t>MT/EQ/483</t>
  </si>
  <si>
    <t>GRANULATION -IV</t>
  </si>
  <si>
    <t>BNC-P-800(II)(SPARK RESISTANCE</t>
  </si>
  <si>
    <t>20.0 HP/1465 RPM</t>
  </si>
  <si>
    <t>AWD GF - 72</t>
  </si>
  <si>
    <t>MT/EQ/517</t>
  </si>
  <si>
    <t>PRIMARY BLISTER PACKING - II</t>
  </si>
  <si>
    <t>AHU GF - 73</t>
  </si>
  <si>
    <t>MT/EQ/518</t>
  </si>
  <si>
    <t>SECONDARY BLISTER PACKING - II</t>
  </si>
  <si>
    <t>125MM OF WC</t>
  </si>
  <si>
    <t>BNC-Q-400-(II)</t>
  </si>
  <si>
    <t>AHU GF - 74</t>
  </si>
  <si>
    <t>MT/EQ/544</t>
  </si>
  <si>
    <t>DEDUSTING AREA</t>
  </si>
  <si>
    <t>130MM</t>
  </si>
  <si>
    <t>7.5 HP/2890 RPM</t>
  </si>
  <si>
    <t>AWD GF - 75</t>
  </si>
  <si>
    <t>MT/EQ/545</t>
  </si>
  <si>
    <t>PRIMARY DRY POWDER AREA</t>
  </si>
  <si>
    <t>RLO E1 6371</t>
  </si>
  <si>
    <t>N/A</t>
  </si>
  <si>
    <t>11 HP/1465 RPM</t>
  </si>
  <si>
    <t>AHU GF - 76</t>
  </si>
  <si>
    <t>MT/EQ/546</t>
  </si>
  <si>
    <t>SECONDARY DRY POWDER AREA</t>
  </si>
  <si>
    <t>RLO E1 4044</t>
  </si>
  <si>
    <t>7.5 HP/2925 RPM</t>
  </si>
  <si>
    <t>AWD FF - 77</t>
  </si>
  <si>
    <t>MT/EQ/553</t>
  </si>
  <si>
    <t>CAPSULATION - I/BIN FEEDING - I</t>
  </si>
  <si>
    <t>RLO E1 4045</t>
  </si>
  <si>
    <t>AHU GF - 78</t>
  </si>
  <si>
    <t>MT/EQ/562</t>
  </si>
  <si>
    <t>CHANGE PART ROOM - III</t>
  </si>
  <si>
    <t xml:space="preserve">150MM </t>
  </si>
  <si>
    <t>WARE HOUSE</t>
  </si>
  <si>
    <t>AHU WH - 02</t>
  </si>
  <si>
    <t>MT/EQ/273</t>
  </si>
  <si>
    <t>Packaging Sampling and Dispensing</t>
  </si>
  <si>
    <t>2 HP/2890 RPM</t>
  </si>
  <si>
    <t>AHU WH - 04</t>
  </si>
  <si>
    <t>MT/EQ/412</t>
  </si>
  <si>
    <t>Material Quarantine &amp; Weighing Area</t>
  </si>
  <si>
    <t>100MM WC</t>
  </si>
  <si>
    <t>Plug Type - Direct Driven (Non Spark Proof</t>
  </si>
  <si>
    <t>R63D-HVAC 355</t>
  </si>
  <si>
    <t>3 HP/2840 RPM</t>
  </si>
  <si>
    <t>AHU WH - 05</t>
  </si>
  <si>
    <t>MT/EQ/413</t>
  </si>
  <si>
    <t>Rejected Material Area</t>
  </si>
  <si>
    <t>R63D-HVAC 356</t>
  </si>
  <si>
    <t>AHU WH - 06A</t>
  </si>
  <si>
    <t>MT/EQ/414</t>
  </si>
  <si>
    <t>Raw Material Storage Area</t>
  </si>
  <si>
    <t>AHU WH - 06B</t>
  </si>
  <si>
    <t>MT/EQ/415</t>
  </si>
  <si>
    <t>R63D-HVAC 901</t>
  </si>
  <si>
    <t>30 HP/1470 RPM</t>
  </si>
  <si>
    <t>AHU WH - 06C</t>
  </si>
  <si>
    <t>MT/EQ/416</t>
  </si>
  <si>
    <t>AHU WH - 07</t>
  </si>
  <si>
    <t>MT/EQ/417</t>
  </si>
  <si>
    <t>Capsule Storage Area</t>
  </si>
  <si>
    <t>AHU WH - 08</t>
  </si>
  <si>
    <t>MT/EQ/418</t>
  </si>
  <si>
    <t>Corridor - Sampling &amp; Dispensing Area</t>
  </si>
  <si>
    <t>AWD WH - 09</t>
  </si>
  <si>
    <t>MT/EQ/419</t>
  </si>
  <si>
    <t>Sampling &amp; Dispensing-I</t>
  </si>
  <si>
    <t>Plug Type - Direct Driven (Non Spark Proof)</t>
  </si>
  <si>
    <t>DKNBW 355</t>
  </si>
  <si>
    <t>AHU WH - 10</t>
  </si>
  <si>
    <t>MT/EQ/420</t>
  </si>
  <si>
    <t>Sampling &amp; Dispensing Area - II</t>
  </si>
  <si>
    <t>AHU WH - 12</t>
  </si>
  <si>
    <t>MT/EQ/422</t>
  </si>
  <si>
    <t>Sampling &amp; Dispensing Area - V</t>
  </si>
  <si>
    <t>AWD WH - 13</t>
  </si>
  <si>
    <t>MT/EQ/423</t>
  </si>
  <si>
    <t>Sampling &amp; Dispensing-III</t>
  </si>
  <si>
    <t>DKNBW 7400</t>
  </si>
  <si>
    <t>7.5 HP / 2900 RPM</t>
  </si>
  <si>
    <t>AHU WH - 14</t>
  </si>
  <si>
    <t>MT/EQ/424</t>
  </si>
  <si>
    <t>Sampling &amp; Dispensing Area - VI</t>
  </si>
  <si>
    <t>AHU WH - 15</t>
  </si>
  <si>
    <t>MT/EQ/425</t>
  </si>
  <si>
    <t>Office - Dispensing Area</t>
  </si>
  <si>
    <t>AWD WH - 16</t>
  </si>
  <si>
    <t>MT/EQ/454</t>
  </si>
  <si>
    <t>Sampling &amp; Dispensing Area - IV</t>
  </si>
  <si>
    <t>RLO E1 3135</t>
  </si>
  <si>
    <t>3 HP/ 2890 RPM</t>
  </si>
  <si>
    <t>AHU WH - 17</t>
  </si>
  <si>
    <t>MT/EQ/463</t>
  </si>
  <si>
    <t>Packaging material warehouse</t>
  </si>
  <si>
    <t>80 MM WC</t>
  </si>
  <si>
    <t>RLCE6 7180</t>
  </si>
  <si>
    <t>20 HP / 1465 RPM</t>
  </si>
  <si>
    <t>AHU WH - 18</t>
  </si>
  <si>
    <t>Row material and Finished Goods warehouse</t>
  </si>
  <si>
    <t>EC BOLWER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</si>
</sst>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b/>
      <sz val="18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2" xfId="0" applyAlignment="1" applyBorder="1" applyFont="1" applyNumberFormat="1">
      <alignment horizontal="center" vertical="center"/>
    </xf>
    <xf borderId="1" fillId="2" fontId="2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2" numFmtId="0" xfId="0" applyBorder="1" applyFont="1"/>
    <xf borderId="4" fillId="0" fontId="2" numFmtId="0" xfId="0" applyAlignment="1" applyBorder="1" applyFont="1">
      <alignment horizontal="center" vertical="center"/>
    </xf>
    <xf borderId="5" fillId="0" fontId="3" numFmtId="0" xfId="0" applyBorder="1" applyFont="1"/>
    <xf borderId="6" fillId="2" fontId="2" numFmtId="0" xfId="0" applyAlignment="1" applyBorder="1" applyFont="1">
      <alignment horizontal="center"/>
    </xf>
    <xf borderId="7" fillId="0" fontId="4" numFmtId="0" xfId="0" applyAlignment="1" applyBorder="1" applyFont="1">
      <alignment horizontal="center" vertical="center"/>
    </xf>
    <xf borderId="7" fillId="0" fontId="3" numFmtId="0" xfId="0" applyBorder="1" applyFont="1"/>
    <xf borderId="1" fillId="2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0" fillId="0" fontId="5" numFmtId="0" xfId="0" applyFont="1"/>
    <xf borderId="8" fillId="0" fontId="2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8" fillId="0" fontId="4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5" numFmtId="0" xfId="0" applyFont="1"/>
    <xf borderId="0" fillId="0" fontId="2" numFmtId="0" xfId="0" applyAlignment="1" applyFont="1">
      <alignment horizontal="center"/>
    </xf>
    <xf borderId="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3" width="13.14"/>
    <col customWidth="1" min="4" max="4" width="31.29"/>
    <col customWidth="1" min="5" max="5" width="8.43"/>
    <col customWidth="1" min="6" max="6" width="14.14"/>
    <col customWidth="1" min="7" max="7" width="31.43"/>
    <col customWidth="1" min="8" max="8" width="28.71"/>
    <col customWidth="1" min="9" max="9" width="15.71"/>
    <col customWidth="1" min="10" max="10" width="16.86"/>
    <col customWidth="1" min="11" max="11" width="9.86"/>
    <col customWidth="1" min="12" max="13" width="11.57"/>
    <col customWidth="1" min="14" max="14" width="18.57"/>
    <col customWidth="1" min="15" max="15" width="8.71"/>
    <col customWidth="1" min="16" max="16" width="12.43"/>
    <col customWidth="1" min="17" max="18" width="8.71"/>
    <col customWidth="1" min="19" max="19" width="10.86"/>
    <col customWidth="1" min="20" max="20" width="8.71"/>
    <col customWidth="1" min="21" max="21" width="10.43"/>
    <col customWidth="1" min="22" max="26" width="8.71"/>
  </cols>
  <sheetData>
    <row r="1" ht="14.25" customHeight="1">
      <c r="P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4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5"/>
      <c r="W2" s="5"/>
      <c r="X2" s="5"/>
      <c r="Y2" s="5"/>
      <c r="Z2" s="5"/>
    </row>
    <row r="3" ht="14.25" customHeight="1">
      <c r="A3" s="6">
        <v>1.0</v>
      </c>
      <c r="B3" s="7" t="s">
        <v>22</v>
      </c>
      <c r="C3" s="7" t="s">
        <v>23</v>
      </c>
      <c r="D3" s="8" t="s">
        <v>24</v>
      </c>
      <c r="E3" s="7">
        <v>3500.0</v>
      </c>
      <c r="F3" s="7">
        <v>125.0</v>
      </c>
      <c r="G3" s="7" t="s">
        <v>25</v>
      </c>
      <c r="H3" s="7" t="s">
        <v>26</v>
      </c>
      <c r="I3" s="7">
        <v>2389.0</v>
      </c>
      <c r="J3" s="7" t="s">
        <v>27</v>
      </c>
      <c r="K3" s="9">
        <f>0.7457*5</f>
        <v>3.7285</v>
      </c>
      <c r="L3" s="10">
        <v>84.0</v>
      </c>
      <c r="M3" s="7" t="s">
        <v>28</v>
      </c>
      <c r="N3" s="8"/>
      <c r="O3" s="8"/>
      <c r="P3" s="8"/>
      <c r="Q3" s="8"/>
      <c r="R3" s="8"/>
      <c r="S3" s="8"/>
      <c r="T3" s="8"/>
      <c r="U3" s="8"/>
    </row>
    <row r="4" ht="14.25" customHeight="1">
      <c r="A4" s="6">
        <v>2.0</v>
      </c>
      <c r="B4" s="7" t="s">
        <v>29</v>
      </c>
      <c r="C4" s="7" t="s">
        <v>30</v>
      </c>
      <c r="D4" s="8" t="s">
        <v>31</v>
      </c>
      <c r="E4" s="7">
        <v>9895.0</v>
      </c>
      <c r="F4" s="7">
        <v>150.0</v>
      </c>
      <c r="G4" s="7" t="s">
        <v>32</v>
      </c>
      <c r="H4" s="11" t="s">
        <v>33</v>
      </c>
      <c r="I4" s="7">
        <v>1568.0</v>
      </c>
      <c r="J4" s="11" t="s">
        <v>34</v>
      </c>
      <c r="K4" s="9">
        <v>15.0</v>
      </c>
      <c r="L4" s="10">
        <v>90.7</v>
      </c>
      <c r="M4" s="7" t="s">
        <v>35</v>
      </c>
      <c r="N4" s="12" t="s">
        <v>36</v>
      </c>
      <c r="O4" s="8"/>
      <c r="P4" s="8"/>
      <c r="Q4" s="8"/>
      <c r="R4" s="8"/>
      <c r="S4" s="8"/>
      <c r="T4" s="8"/>
      <c r="U4" s="8"/>
    </row>
    <row r="5" ht="14.25" customHeight="1">
      <c r="A5" s="6">
        <v>3.0</v>
      </c>
      <c r="B5" s="7" t="s">
        <v>37</v>
      </c>
      <c r="C5" s="7" t="s">
        <v>38</v>
      </c>
      <c r="D5" s="8" t="s">
        <v>39</v>
      </c>
      <c r="E5" s="7">
        <v>3139.0</v>
      </c>
      <c r="F5" s="7">
        <v>150.0</v>
      </c>
      <c r="G5" s="7" t="s">
        <v>32</v>
      </c>
      <c r="H5" s="11" t="s">
        <v>33</v>
      </c>
      <c r="I5" s="7">
        <v>2815.0</v>
      </c>
      <c r="J5" s="7" t="s">
        <v>27</v>
      </c>
      <c r="K5" s="9">
        <f>0.7457*5</f>
        <v>3.7285</v>
      </c>
      <c r="L5" s="10">
        <v>86.5</v>
      </c>
      <c r="M5" s="7" t="s">
        <v>35</v>
      </c>
      <c r="N5" s="8"/>
      <c r="O5" s="8"/>
      <c r="P5" s="8"/>
      <c r="Q5" s="8"/>
      <c r="R5" s="8"/>
      <c r="S5" s="8"/>
      <c r="T5" s="8"/>
      <c r="U5" s="8"/>
    </row>
    <row r="6" ht="14.25" customHeight="1">
      <c r="A6" s="6">
        <v>4.0</v>
      </c>
      <c r="B6" s="7" t="s">
        <v>40</v>
      </c>
      <c r="C6" s="7" t="s">
        <v>41</v>
      </c>
      <c r="D6" s="8" t="s">
        <v>42</v>
      </c>
      <c r="E6" s="7">
        <v>5373.0</v>
      </c>
      <c r="F6" s="6">
        <v>150.0</v>
      </c>
      <c r="G6" s="6" t="s">
        <v>25</v>
      </c>
      <c r="H6" s="7" t="s">
        <v>43</v>
      </c>
      <c r="I6" s="7">
        <v>2366.0</v>
      </c>
      <c r="J6" s="7" t="s">
        <v>44</v>
      </c>
      <c r="K6" s="9">
        <f>0.7457*7.5</f>
        <v>5.59275</v>
      </c>
      <c r="L6" s="10">
        <v>85.0</v>
      </c>
      <c r="M6" s="7" t="s">
        <v>45</v>
      </c>
      <c r="N6" s="8"/>
      <c r="O6" s="8"/>
      <c r="P6" s="8"/>
      <c r="Q6" s="8"/>
      <c r="R6" s="8"/>
      <c r="S6" s="8"/>
      <c r="T6" s="8"/>
      <c r="U6" s="8"/>
    </row>
    <row r="7" ht="14.25" customHeight="1">
      <c r="A7" s="6">
        <v>5.0</v>
      </c>
      <c r="B7" s="7" t="s">
        <v>46</v>
      </c>
      <c r="C7" s="7" t="s">
        <v>47</v>
      </c>
      <c r="D7" s="8" t="s">
        <v>48</v>
      </c>
      <c r="E7" s="7">
        <v>1109.0</v>
      </c>
      <c r="F7" s="7">
        <v>150.0</v>
      </c>
      <c r="G7" s="7" t="s">
        <v>32</v>
      </c>
      <c r="H7" s="11" t="s">
        <v>33</v>
      </c>
      <c r="I7" s="7">
        <v>2972.0</v>
      </c>
      <c r="J7" s="7" t="s">
        <v>49</v>
      </c>
      <c r="K7" s="7">
        <v>2.24</v>
      </c>
      <c r="L7" s="10">
        <v>84.2</v>
      </c>
      <c r="M7" s="7" t="s">
        <v>35</v>
      </c>
      <c r="N7" s="8"/>
      <c r="O7" s="8"/>
      <c r="P7" s="8"/>
      <c r="Q7" s="8"/>
      <c r="R7" s="8"/>
      <c r="S7" s="8"/>
      <c r="T7" s="8"/>
      <c r="U7" s="8"/>
    </row>
    <row r="8" ht="14.25" customHeight="1">
      <c r="A8" s="6">
        <v>6.0</v>
      </c>
      <c r="B8" s="7" t="s">
        <v>50</v>
      </c>
      <c r="C8" s="7" t="s">
        <v>51</v>
      </c>
      <c r="D8" s="8" t="s">
        <v>52</v>
      </c>
      <c r="E8" s="7">
        <v>3073.0</v>
      </c>
      <c r="F8" s="7">
        <v>130.0</v>
      </c>
      <c r="G8" s="7" t="s">
        <v>32</v>
      </c>
      <c r="H8" s="7" t="s">
        <v>53</v>
      </c>
      <c r="I8" s="7">
        <v>2719.0</v>
      </c>
      <c r="J8" s="7" t="s">
        <v>44</v>
      </c>
      <c r="K8" s="7">
        <v>5.59</v>
      </c>
      <c r="L8" s="10">
        <v>85.0</v>
      </c>
      <c r="M8" s="7"/>
      <c r="N8" s="8"/>
      <c r="O8" s="8"/>
      <c r="P8" s="8"/>
      <c r="Q8" s="8"/>
      <c r="R8" s="8"/>
      <c r="S8" s="8"/>
      <c r="T8" s="8"/>
      <c r="U8" s="8"/>
    </row>
    <row r="9" ht="14.25" customHeight="1">
      <c r="A9" s="6">
        <v>7.0</v>
      </c>
      <c r="B9" s="7" t="s">
        <v>54</v>
      </c>
      <c r="C9" s="7" t="s">
        <v>55</v>
      </c>
      <c r="D9" s="8" t="s">
        <v>56</v>
      </c>
      <c r="E9" s="7">
        <v>6000.0</v>
      </c>
      <c r="F9" s="6">
        <v>125.0</v>
      </c>
      <c r="G9" s="6" t="s">
        <v>25</v>
      </c>
      <c r="H9" s="7" t="s">
        <v>57</v>
      </c>
      <c r="I9" s="7">
        <v>1932.0</v>
      </c>
      <c r="J9" s="7" t="s">
        <v>58</v>
      </c>
      <c r="K9" s="9">
        <f>0.7457*7.5</f>
        <v>5.59275</v>
      </c>
      <c r="L9" s="10">
        <v>89.2</v>
      </c>
      <c r="M9" s="7" t="s">
        <v>59</v>
      </c>
      <c r="N9" s="8"/>
      <c r="O9" s="8"/>
      <c r="P9" s="8"/>
      <c r="Q9" s="8"/>
      <c r="R9" s="8"/>
      <c r="S9" s="8"/>
      <c r="T9" s="8"/>
      <c r="U9" s="8"/>
    </row>
    <row r="10" ht="14.25" customHeight="1">
      <c r="A10" s="13">
        <v>8.0</v>
      </c>
      <c r="B10" s="13" t="s">
        <v>60</v>
      </c>
      <c r="C10" s="13" t="s">
        <v>61</v>
      </c>
      <c r="D10" s="13" t="s">
        <v>62</v>
      </c>
      <c r="E10" s="13">
        <v>990.0</v>
      </c>
      <c r="F10" s="13">
        <v>100.0</v>
      </c>
      <c r="G10" s="7" t="s">
        <v>32</v>
      </c>
      <c r="H10" s="11" t="s">
        <v>33</v>
      </c>
      <c r="I10" s="7">
        <v>3162.0</v>
      </c>
      <c r="J10" s="10" t="s">
        <v>63</v>
      </c>
      <c r="K10" s="10">
        <v>0.75</v>
      </c>
      <c r="L10" s="10">
        <v>83.2</v>
      </c>
      <c r="M10" s="7" t="s">
        <v>35</v>
      </c>
      <c r="N10" s="7" t="s">
        <v>64</v>
      </c>
      <c r="O10" s="8"/>
      <c r="P10" s="8"/>
      <c r="Q10" s="8"/>
      <c r="R10" s="8"/>
      <c r="S10" s="8"/>
      <c r="T10" s="8"/>
      <c r="U10" s="8"/>
    </row>
    <row r="11" ht="14.25" customHeight="1">
      <c r="A11" s="14"/>
      <c r="B11" s="14"/>
      <c r="C11" s="14"/>
      <c r="D11" s="14"/>
      <c r="E11" s="14"/>
      <c r="F11" s="14"/>
      <c r="G11" s="7" t="s">
        <v>32</v>
      </c>
      <c r="H11" s="11" t="s">
        <v>33</v>
      </c>
      <c r="I11" s="11" t="s">
        <v>28</v>
      </c>
      <c r="J11" s="10" t="s">
        <v>63</v>
      </c>
      <c r="K11" s="10">
        <v>0.75</v>
      </c>
      <c r="L11" s="10">
        <v>79.6</v>
      </c>
      <c r="M11" s="7" t="s">
        <v>28</v>
      </c>
      <c r="N11" s="10" t="s">
        <v>65</v>
      </c>
      <c r="O11" s="8"/>
      <c r="P11" s="8"/>
      <c r="Q11" s="8"/>
      <c r="R11" s="8"/>
      <c r="S11" s="8"/>
      <c r="T11" s="8"/>
      <c r="U11" s="8"/>
    </row>
    <row r="12" ht="14.25" customHeight="1">
      <c r="A12" s="6">
        <v>9.0</v>
      </c>
      <c r="B12" s="7" t="s">
        <v>66</v>
      </c>
      <c r="C12" s="7" t="s">
        <v>67</v>
      </c>
      <c r="D12" s="8" t="s">
        <v>68</v>
      </c>
      <c r="E12" s="7">
        <v>14793.0</v>
      </c>
      <c r="F12" s="7">
        <v>150.0</v>
      </c>
      <c r="G12" s="7" t="s">
        <v>32</v>
      </c>
      <c r="H12" s="7" t="s">
        <v>69</v>
      </c>
      <c r="I12" s="7">
        <v>1463.0</v>
      </c>
      <c r="J12" s="11" t="s">
        <v>70</v>
      </c>
      <c r="K12" s="7">
        <v>18.5</v>
      </c>
      <c r="L12" s="10">
        <v>91.2</v>
      </c>
      <c r="M12" s="7" t="s">
        <v>35</v>
      </c>
      <c r="N12" s="12" t="s">
        <v>36</v>
      </c>
      <c r="O12" s="8"/>
      <c r="P12" s="8"/>
      <c r="Q12" s="8"/>
      <c r="R12" s="8"/>
      <c r="S12" s="8"/>
      <c r="T12" s="8"/>
      <c r="U12" s="8"/>
    </row>
    <row r="13" ht="14.25" customHeight="1">
      <c r="A13" s="6">
        <v>10.0</v>
      </c>
      <c r="B13" s="7" t="s">
        <v>71</v>
      </c>
      <c r="C13" s="7" t="s">
        <v>72</v>
      </c>
      <c r="D13" s="8" t="s">
        <v>73</v>
      </c>
      <c r="E13" s="7">
        <v>3821.0</v>
      </c>
      <c r="F13" s="7">
        <v>100.0</v>
      </c>
      <c r="G13" s="7" t="s">
        <v>32</v>
      </c>
      <c r="H13" s="7" t="s">
        <v>74</v>
      </c>
      <c r="I13" s="7">
        <v>2613.0</v>
      </c>
      <c r="J13" s="7" t="s">
        <v>27</v>
      </c>
      <c r="K13" s="7">
        <v>3.73</v>
      </c>
      <c r="L13" s="10">
        <v>85.5</v>
      </c>
      <c r="M13" s="7" t="s">
        <v>35</v>
      </c>
      <c r="N13" s="8"/>
      <c r="O13" s="8"/>
      <c r="P13" s="8"/>
      <c r="Q13" s="8"/>
      <c r="R13" s="8"/>
      <c r="S13" s="8"/>
      <c r="T13" s="8"/>
      <c r="U13" s="8"/>
    </row>
    <row r="14" ht="14.25" customHeight="1">
      <c r="A14" s="6">
        <v>11.0</v>
      </c>
      <c r="B14" s="7" t="s">
        <v>75</v>
      </c>
      <c r="C14" s="7" t="s">
        <v>76</v>
      </c>
      <c r="D14" s="8" t="s">
        <v>77</v>
      </c>
      <c r="E14" s="7">
        <v>8375.0</v>
      </c>
      <c r="F14" s="7">
        <v>150.0</v>
      </c>
      <c r="G14" s="7" t="s">
        <v>32</v>
      </c>
      <c r="H14" s="7" t="s">
        <v>78</v>
      </c>
      <c r="I14" s="7">
        <v>2615.0</v>
      </c>
      <c r="J14" s="7" t="s">
        <v>79</v>
      </c>
      <c r="K14" s="7">
        <v>11.19</v>
      </c>
      <c r="L14" s="10">
        <v>89.4</v>
      </c>
      <c r="M14" s="7" t="s">
        <v>35</v>
      </c>
      <c r="N14" s="8"/>
      <c r="O14" s="8"/>
      <c r="P14" s="8"/>
      <c r="Q14" s="8"/>
      <c r="R14" s="8"/>
      <c r="S14" s="8"/>
      <c r="T14" s="8"/>
      <c r="U14" s="8"/>
    </row>
    <row r="15" ht="14.25" customHeight="1">
      <c r="A15" s="6">
        <v>12.0</v>
      </c>
      <c r="B15" s="7" t="s">
        <v>80</v>
      </c>
      <c r="C15" s="7" t="s">
        <v>81</v>
      </c>
      <c r="D15" s="8" t="s">
        <v>82</v>
      </c>
      <c r="E15" s="7">
        <v>7300.0</v>
      </c>
      <c r="F15" s="7">
        <v>150.0</v>
      </c>
      <c r="G15" s="7" t="s">
        <v>32</v>
      </c>
      <c r="H15" s="7" t="s">
        <v>83</v>
      </c>
      <c r="I15" s="7">
        <v>1450.0</v>
      </c>
      <c r="J15" s="7" t="s">
        <v>84</v>
      </c>
      <c r="K15" s="7">
        <v>11.19</v>
      </c>
      <c r="L15" s="10">
        <v>89.8</v>
      </c>
      <c r="M15" s="7" t="s">
        <v>35</v>
      </c>
      <c r="N15" s="8"/>
      <c r="O15" s="8"/>
      <c r="P15" s="8"/>
      <c r="Q15" s="8"/>
      <c r="R15" s="8"/>
      <c r="S15" s="8"/>
      <c r="T15" s="8"/>
      <c r="U15" s="8"/>
    </row>
    <row r="16" ht="14.25" customHeight="1">
      <c r="A16" s="6">
        <v>13.0</v>
      </c>
      <c r="B16" s="7" t="s">
        <v>85</v>
      </c>
      <c r="C16" s="7" t="s">
        <v>86</v>
      </c>
      <c r="D16" s="8" t="s">
        <v>87</v>
      </c>
      <c r="E16" s="7">
        <v>1500.0</v>
      </c>
      <c r="F16" s="7">
        <v>150.0</v>
      </c>
      <c r="G16" s="7" t="s">
        <v>32</v>
      </c>
      <c r="H16" s="7" t="s">
        <v>88</v>
      </c>
      <c r="I16" s="7">
        <v>2839.0</v>
      </c>
      <c r="J16" s="7" t="s">
        <v>27</v>
      </c>
      <c r="K16" s="7">
        <v>3.73</v>
      </c>
      <c r="L16" s="10">
        <v>85.5</v>
      </c>
      <c r="M16" s="7" t="s">
        <v>35</v>
      </c>
      <c r="N16" s="8"/>
      <c r="O16" s="8"/>
      <c r="P16" s="8"/>
      <c r="Q16" s="8"/>
      <c r="R16" s="8"/>
      <c r="S16" s="8"/>
      <c r="T16" s="8"/>
      <c r="U16" s="8"/>
    </row>
    <row r="17" ht="14.25" customHeight="1">
      <c r="A17" s="6">
        <v>14.0</v>
      </c>
      <c r="B17" s="7" t="s">
        <v>89</v>
      </c>
      <c r="C17" s="7" t="s">
        <v>90</v>
      </c>
      <c r="D17" s="8" t="s">
        <v>91</v>
      </c>
      <c r="E17" s="7">
        <v>3962.0</v>
      </c>
      <c r="F17" s="7">
        <v>150.0</v>
      </c>
      <c r="G17" s="7" t="s">
        <v>32</v>
      </c>
      <c r="H17" s="7" t="s">
        <v>92</v>
      </c>
      <c r="I17" s="11" t="s">
        <v>28</v>
      </c>
      <c r="J17" s="11" t="s">
        <v>93</v>
      </c>
      <c r="K17" s="7">
        <v>7.46</v>
      </c>
      <c r="L17" s="10">
        <v>88.6</v>
      </c>
      <c r="M17" s="7" t="s">
        <v>35</v>
      </c>
      <c r="N17" s="12" t="s">
        <v>36</v>
      </c>
      <c r="O17" s="8"/>
      <c r="P17" s="8"/>
      <c r="Q17" s="8"/>
      <c r="R17" s="8"/>
      <c r="S17" s="8"/>
      <c r="T17" s="8"/>
      <c r="U17" s="8"/>
    </row>
    <row r="18" ht="14.25" customHeight="1">
      <c r="A18" s="6">
        <v>15.0</v>
      </c>
      <c r="B18" s="7" t="s">
        <v>94</v>
      </c>
      <c r="C18" s="7" t="s">
        <v>95</v>
      </c>
      <c r="D18" s="8" t="s">
        <v>96</v>
      </c>
      <c r="E18" s="7">
        <v>4594.0</v>
      </c>
      <c r="F18" s="7">
        <v>150.0</v>
      </c>
      <c r="G18" s="7" t="s">
        <v>32</v>
      </c>
      <c r="H18" s="7" t="s">
        <v>97</v>
      </c>
      <c r="I18" s="7">
        <v>2876.0</v>
      </c>
      <c r="J18" s="7" t="s">
        <v>98</v>
      </c>
      <c r="K18" s="7">
        <v>7.46</v>
      </c>
      <c r="L18" s="10">
        <v>88.1</v>
      </c>
      <c r="M18" s="7" t="s">
        <v>35</v>
      </c>
      <c r="N18" s="8"/>
      <c r="O18" s="8"/>
      <c r="P18" s="8"/>
      <c r="Q18" s="8"/>
      <c r="R18" s="8"/>
      <c r="S18" s="8"/>
      <c r="T18" s="8"/>
      <c r="U18" s="8"/>
    </row>
    <row r="19" ht="14.25" customHeight="1">
      <c r="A19" s="6">
        <v>16.0</v>
      </c>
      <c r="B19" s="7" t="s">
        <v>99</v>
      </c>
      <c r="C19" s="7" t="s">
        <v>100</v>
      </c>
      <c r="D19" s="8" t="s">
        <v>101</v>
      </c>
      <c r="E19" s="7">
        <v>6543.0</v>
      </c>
      <c r="F19" s="7">
        <v>150.0</v>
      </c>
      <c r="G19" s="7" t="s">
        <v>32</v>
      </c>
      <c r="H19" s="7" t="s">
        <v>102</v>
      </c>
      <c r="I19" s="7">
        <v>2712.0</v>
      </c>
      <c r="J19" s="7" t="s">
        <v>103</v>
      </c>
      <c r="K19" s="7">
        <v>11.19</v>
      </c>
      <c r="L19" s="10">
        <v>89.4</v>
      </c>
      <c r="M19" s="7" t="s">
        <v>35</v>
      </c>
      <c r="N19" s="8"/>
      <c r="O19" s="8"/>
      <c r="P19" s="8"/>
      <c r="Q19" s="8"/>
      <c r="R19" s="8"/>
      <c r="S19" s="8"/>
      <c r="T19" s="8"/>
      <c r="U19" s="8"/>
    </row>
    <row r="20" ht="14.25" customHeight="1">
      <c r="A20" s="6">
        <v>17.0</v>
      </c>
      <c r="B20" s="7" t="s">
        <v>104</v>
      </c>
      <c r="C20" s="7" t="s">
        <v>105</v>
      </c>
      <c r="D20" s="8" t="s">
        <v>106</v>
      </c>
      <c r="E20" s="7">
        <v>3775.0</v>
      </c>
      <c r="F20" s="7">
        <v>150.0</v>
      </c>
      <c r="G20" s="7" t="s">
        <v>32</v>
      </c>
      <c r="H20" s="7" t="s">
        <v>107</v>
      </c>
      <c r="I20" s="7">
        <v>2846.0</v>
      </c>
      <c r="J20" s="7" t="s">
        <v>108</v>
      </c>
      <c r="K20" s="7">
        <v>5.59</v>
      </c>
      <c r="L20" s="10">
        <v>87.0</v>
      </c>
      <c r="M20" s="7" t="s">
        <v>35</v>
      </c>
      <c r="N20" s="8"/>
      <c r="O20" s="8"/>
      <c r="P20" s="8"/>
      <c r="Q20" s="8"/>
      <c r="R20" s="8"/>
      <c r="S20" s="8"/>
      <c r="T20" s="8"/>
      <c r="U20" s="8"/>
    </row>
    <row r="21" ht="14.25" customHeight="1">
      <c r="A21" s="13">
        <v>18.0</v>
      </c>
      <c r="B21" s="13" t="s">
        <v>109</v>
      </c>
      <c r="C21" s="13" t="s">
        <v>110</v>
      </c>
      <c r="D21" s="13" t="s">
        <v>111</v>
      </c>
      <c r="E21" s="13">
        <v>2176.0</v>
      </c>
      <c r="F21" s="13">
        <v>150.0</v>
      </c>
      <c r="G21" s="7" t="s">
        <v>32</v>
      </c>
      <c r="H21" s="7" t="s">
        <v>112</v>
      </c>
      <c r="I21" s="7">
        <v>2699.0</v>
      </c>
      <c r="J21" s="7" t="s">
        <v>27</v>
      </c>
      <c r="K21" s="7">
        <v>3.73</v>
      </c>
      <c r="L21" s="10">
        <v>85.5</v>
      </c>
      <c r="M21" s="7" t="s">
        <v>35</v>
      </c>
      <c r="N21" s="7" t="s">
        <v>64</v>
      </c>
      <c r="O21" s="8"/>
      <c r="P21" s="8"/>
      <c r="Q21" s="8"/>
      <c r="R21" s="8"/>
      <c r="S21" s="8"/>
      <c r="T21" s="8"/>
      <c r="U21" s="8"/>
    </row>
    <row r="22" ht="14.25" customHeight="1">
      <c r="A22" s="14"/>
      <c r="B22" s="14"/>
      <c r="C22" s="14"/>
      <c r="D22" s="14"/>
      <c r="E22" s="14"/>
      <c r="F22" s="14"/>
      <c r="G22" s="7" t="s">
        <v>32</v>
      </c>
      <c r="H22" s="7" t="s">
        <v>113</v>
      </c>
      <c r="I22" s="7">
        <v>2440.0</v>
      </c>
      <c r="J22" s="7" t="s">
        <v>27</v>
      </c>
      <c r="K22" s="7">
        <v>3.73</v>
      </c>
      <c r="L22" s="10">
        <v>85.5</v>
      </c>
      <c r="M22" s="7" t="s">
        <v>35</v>
      </c>
      <c r="N22" s="7" t="s">
        <v>65</v>
      </c>
      <c r="O22" s="8"/>
      <c r="P22" s="8"/>
      <c r="Q22" s="8"/>
      <c r="R22" s="8"/>
      <c r="S22" s="8"/>
      <c r="T22" s="8"/>
      <c r="U22" s="8"/>
    </row>
    <row r="23" ht="14.25" customHeight="1">
      <c r="A23" s="6">
        <v>19.0</v>
      </c>
      <c r="B23" s="7" t="s">
        <v>114</v>
      </c>
      <c r="C23" s="7" t="s">
        <v>115</v>
      </c>
      <c r="D23" s="8" t="s">
        <v>116</v>
      </c>
      <c r="E23" s="7">
        <v>3700.0</v>
      </c>
      <c r="F23" s="7">
        <v>150.0</v>
      </c>
      <c r="G23" s="7" t="s">
        <v>32</v>
      </c>
      <c r="H23" s="7" t="s">
        <v>117</v>
      </c>
      <c r="I23" s="11" t="s">
        <v>28</v>
      </c>
      <c r="J23" s="7" t="s">
        <v>118</v>
      </c>
      <c r="K23" s="7">
        <v>5.59</v>
      </c>
      <c r="L23" s="10">
        <v>87.6</v>
      </c>
      <c r="M23" s="7" t="s">
        <v>35</v>
      </c>
      <c r="N23" s="8"/>
      <c r="O23" s="8"/>
      <c r="P23" s="8"/>
      <c r="Q23" s="8"/>
      <c r="R23" s="8"/>
      <c r="S23" s="8"/>
      <c r="T23" s="8"/>
      <c r="U23" s="8"/>
    </row>
    <row r="24" ht="14.25" customHeight="1">
      <c r="A24" s="6">
        <v>20.0</v>
      </c>
      <c r="B24" s="7" t="s">
        <v>119</v>
      </c>
      <c r="C24" s="7" t="s">
        <v>120</v>
      </c>
      <c r="D24" s="8" t="s">
        <v>121</v>
      </c>
      <c r="E24" s="7">
        <v>3000.0</v>
      </c>
      <c r="F24" s="7">
        <v>150.0</v>
      </c>
      <c r="G24" s="7" t="s">
        <v>32</v>
      </c>
      <c r="H24" s="7" t="s">
        <v>122</v>
      </c>
      <c r="I24" s="11" t="s">
        <v>28</v>
      </c>
      <c r="J24" s="7" t="s">
        <v>123</v>
      </c>
      <c r="K24" s="7">
        <v>3.73</v>
      </c>
      <c r="L24" s="10">
        <v>87.6</v>
      </c>
      <c r="M24" s="7" t="s">
        <v>35</v>
      </c>
      <c r="N24" s="8"/>
      <c r="O24" s="8"/>
      <c r="P24" s="8"/>
      <c r="Q24" s="8"/>
      <c r="R24" s="8"/>
      <c r="S24" s="8"/>
      <c r="T24" s="8"/>
      <c r="U24" s="8"/>
    </row>
    <row r="25" ht="14.25" customHeight="1">
      <c r="A25" s="6">
        <v>21.0</v>
      </c>
      <c r="B25" s="7" t="s">
        <v>124</v>
      </c>
      <c r="C25" s="7" t="s">
        <v>125</v>
      </c>
      <c r="D25" s="8" t="s">
        <v>126</v>
      </c>
      <c r="E25" s="7">
        <v>8000.0</v>
      </c>
      <c r="F25" s="7">
        <v>150.0</v>
      </c>
      <c r="G25" s="7" t="s">
        <v>32</v>
      </c>
      <c r="H25" s="7" t="s">
        <v>127</v>
      </c>
      <c r="I25" s="11" t="s">
        <v>28</v>
      </c>
      <c r="J25" s="7" t="s">
        <v>128</v>
      </c>
      <c r="K25" s="7">
        <v>11.19</v>
      </c>
      <c r="L25" s="10">
        <v>91.4</v>
      </c>
      <c r="M25" s="7" t="s">
        <v>59</v>
      </c>
      <c r="N25" s="8"/>
      <c r="O25" s="8"/>
      <c r="P25" s="8"/>
      <c r="Q25" s="8"/>
      <c r="R25" s="8"/>
      <c r="S25" s="8"/>
      <c r="T25" s="8"/>
      <c r="U25" s="8"/>
    </row>
    <row r="26" ht="14.25" customHeight="1">
      <c r="A26" s="6">
        <v>22.0</v>
      </c>
      <c r="B26" s="7" t="s">
        <v>129</v>
      </c>
      <c r="C26" s="7" t="s">
        <v>130</v>
      </c>
      <c r="D26" s="8" t="s">
        <v>131</v>
      </c>
      <c r="E26" s="7">
        <v>5000.0</v>
      </c>
      <c r="F26" s="7">
        <v>150.0</v>
      </c>
      <c r="G26" s="7" t="s">
        <v>32</v>
      </c>
      <c r="H26" s="7" t="s">
        <v>132</v>
      </c>
      <c r="I26" s="11" t="s">
        <v>28</v>
      </c>
      <c r="J26" s="7" t="s">
        <v>133</v>
      </c>
      <c r="K26" s="7">
        <v>7.46</v>
      </c>
      <c r="L26" s="10">
        <v>90.4</v>
      </c>
      <c r="M26" s="7" t="s">
        <v>59</v>
      </c>
      <c r="N26" s="8"/>
      <c r="O26" s="8"/>
      <c r="P26" s="8"/>
      <c r="Q26" s="8"/>
      <c r="R26" s="8"/>
      <c r="S26" s="8"/>
      <c r="T26" s="8"/>
      <c r="U26" s="8"/>
    </row>
    <row r="27" ht="14.25" customHeight="1">
      <c r="A27" s="6">
        <v>23.0</v>
      </c>
      <c r="B27" s="7" t="s">
        <v>134</v>
      </c>
      <c r="C27" s="7" t="s">
        <v>135</v>
      </c>
      <c r="D27" s="8" t="s">
        <v>136</v>
      </c>
      <c r="E27" s="7">
        <v>6500.0</v>
      </c>
      <c r="F27" s="7">
        <v>150.0</v>
      </c>
      <c r="G27" s="7" t="s">
        <v>137</v>
      </c>
      <c r="H27" s="7" t="s">
        <v>138</v>
      </c>
      <c r="I27" s="7">
        <v>2203.0</v>
      </c>
      <c r="J27" s="7" t="s">
        <v>139</v>
      </c>
      <c r="K27" s="7">
        <v>7.46</v>
      </c>
      <c r="L27" s="10"/>
      <c r="M27" s="7" t="s">
        <v>140</v>
      </c>
      <c r="N27" s="8"/>
      <c r="O27" s="8"/>
      <c r="P27" s="8"/>
      <c r="Q27" s="8"/>
      <c r="R27" s="8"/>
      <c r="S27" s="8"/>
      <c r="T27" s="8"/>
      <c r="U27" s="8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B21:B22"/>
    <mergeCell ref="C21:C22"/>
    <mergeCell ref="D21:D22"/>
    <mergeCell ref="E21:E22"/>
    <mergeCell ref="A10:A11"/>
    <mergeCell ref="B10:B11"/>
    <mergeCell ref="C10:C11"/>
    <mergeCell ref="D10:D11"/>
    <mergeCell ref="E10:E11"/>
    <mergeCell ref="F10:F11"/>
    <mergeCell ref="A21:A22"/>
    <mergeCell ref="F21:F22"/>
  </mergeCells>
  <printOptions/>
  <pageMargins bottom="0.7480314960629921" footer="0.0" header="0.0" left="0.7086614173228347" right="0.7086614173228347" top="1.141732283464567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0"/>
    <col customWidth="1" min="3" max="3" width="13.14"/>
    <col customWidth="1" min="4" max="4" width="31.29"/>
    <col customWidth="1" min="5" max="5" width="8.43"/>
    <col customWidth="1" min="6" max="6" width="14.14"/>
    <col customWidth="1" min="7" max="7" width="31.43"/>
    <col customWidth="1" min="8" max="8" width="28.71"/>
    <col customWidth="1" min="9" max="9" width="15.71"/>
    <col customWidth="1" min="10" max="10" width="16.86"/>
    <col customWidth="1" min="11" max="11" width="9.86"/>
    <col customWidth="1" min="12" max="13" width="11.57"/>
    <col customWidth="1" min="14" max="14" width="8.71"/>
    <col customWidth="1" min="15" max="15" width="12.43"/>
    <col customWidth="1" min="16" max="17" width="8.71"/>
    <col customWidth="1" min="18" max="18" width="9.86"/>
    <col customWidth="1" min="19" max="19" width="8.71"/>
    <col customWidth="1" min="20" max="20" width="10.86"/>
    <col customWidth="1" min="21" max="26" width="8.71"/>
  </cols>
  <sheetData>
    <row r="1" ht="14.25" customHeight="1">
      <c r="O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</row>
    <row r="3" ht="14.25" customHeight="1">
      <c r="A3" s="7">
        <v>1.0</v>
      </c>
      <c r="B3" s="7" t="s">
        <v>141</v>
      </c>
      <c r="C3" s="7" t="s">
        <v>142</v>
      </c>
      <c r="D3" s="7" t="s">
        <v>143</v>
      </c>
      <c r="E3" s="7">
        <v>6252.0</v>
      </c>
      <c r="F3" s="7">
        <v>150.0</v>
      </c>
      <c r="G3" s="7" t="s">
        <v>144</v>
      </c>
      <c r="H3" s="7" t="s">
        <v>102</v>
      </c>
      <c r="I3" s="7">
        <v>2644.0</v>
      </c>
      <c r="J3" s="7" t="s">
        <v>145</v>
      </c>
      <c r="K3" s="9">
        <f>0.7457*15</f>
        <v>11.1855</v>
      </c>
      <c r="L3" s="10">
        <v>89.4</v>
      </c>
      <c r="M3" s="7" t="s">
        <v>35</v>
      </c>
      <c r="N3" s="8"/>
      <c r="O3" s="8"/>
      <c r="P3" s="8"/>
      <c r="Q3" s="8"/>
      <c r="R3" s="8"/>
      <c r="S3" s="8"/>
      <c r="T3" s="8"/>
    </row>
    <row r="4" ht="14.25" customHeight="1">
      <c r="A4" s="7">
        <v>2.0</v>
      </c>
      <c r="B4" s="7" t="s">
        <v>146</v>
      </c>
      <c r="C4" s="7" t="s">
        <v>147</v>
      </c>
      <c r="D4" s="7" t="s">
        <v>136</v>
      </c>
      <c r="E4" s="7">
        <v>26829.0</v>
      </c>
      <c r="F4" s="7">
        <v>150.0</v>
      </c>
      <c r="G4" s="7" t="s">
        <v>137</v>
      </c>
      <c r="H4" s="7" t="s">
        <v>138</v>
      </c>
      <c r="I4" s="7">
        <v>2203.0</v>
      </c>
      <c r="J4" s="7" t="s">
        <v>139</v>
      </c>
      <c r="K4" s="7">
        <v>7.46</v>
      </c>
      <c r="L4" s="10">
        <v>67.3</v>
      </c>
      <c r="M4" s="7" t="s">
        <v>148</v>
      </c>
      <c r="N4" s="8"/>
      <c r="O4" s="8"/>
      <c r="P4" s="8"/>
      <c r="Q4" s="8"/>
      <c r="R4" s="8"/>
      <c r="S4" s="8"/>
      <c r="T4" s="8"/>
    </row>
    <row r="5" ht="14.25" customHeight="1">
      <c r="A5" s="7">
        <v>3.0</v>
      </c>
      <c r="B5" s="7" t="s">
        <v>149</v>
      </c>
      <c r="C5" s="7" t="s">
        <v>150</v>
      </c>
      <c r="D5" s="7" t="s">
        <v>151</v>
      </c>
      <c r="E5" s="7">
        <v>2027.0</v>
      </c>
      <c r="F5" s="7">
        <v>150.0</v>
      </c>
      <c r="G5" s="7" t="s">
        <v>144</v>
      </c>
      <c r="H5" s="7" t="s">
        <v>112</v>
      </c>
      <c r="I5" s="7">
        <v>2667.0</v>
      </c>
      <c r="J5" s="7" t="s">
        <v>152</v>
      </c>
      <c r="K5" s="7">
        <v>3.73</v>
      </c>
      <c r="L5" s="10">
        <v>85.5</v>
      </c>
      <c r="M5" s="7" t="s">
        <v>35</v>
      </c>
      <c r="N5" s="8"/>
      <c r="O5" s="8"/>
      <c r="P5" s="8"/>
      <c r="Q5" s="8"/>
      <c r="R5" s="8"/>
      <c r="S5" s="8"/>
      <c r="T5" s="8"/>
    </row>
    <row r="6" ht="14.25" customHeight="1">
      <c r="A6" s="7">
        <v>4.0</v>
      </c>
      <c r="B6" s="7" t="s">
        <v>153</v>
      </c>
      <c r="C6" s="7" t="s">
        <v>154</v>
      </c>
      <c r="D6" s="7" t="s">
        <v>52</v>
      </c>
      <c r="E6" s="7">
        <v>357.0</v>
      </c>
      <c r="F6" s="7">
        <v>150.0</v>
      </c>
      <c r="G6" s="7" t="s">
        <v>144</v>
      </c>
      <c r="H6" s="7" t="s">
        <v>97</v>
      </c>
      <c r="I6" s="7">
        <v>2655.0</v>
      </c>
      <c r="J6" s="7" t="s">
        <v>108</v>
      </c>
      <c r="K6" s="7">
        <v>5.5</v>
      </c>
      <c r="L6" s="10">
        <v>87.0</v>
      </c>
      <c r="M6" s="7" t="s">
        <v>35</v>
      </c>
      <c r="N6" s="8"/>
      <c r="O6" s="8"/>
      <c r="P6" s="8"/>
      <c r="Q6" s="8"/>
      <c r="R6" s="8"/>
      <c r="S6" s="8"/>
      <c r="T6" s="8"/>
    </row>
    <row r="7" ht="14.25" customHeight="1">
      <c r="A7" s="7">
        <v>5.0</v>
      </c>
      <c r="B7" s="7" t="s">
        <v>155</v>
      </c>
      <c r="C7" s="7" t="s">
        <v>156</v>
      </c>
      <c r="D7" s="7" t="s">
        <v>116</v>
      </c>
      <c r="E7" s="7">
        <v>6999.0</v>
      </c>
      <c r="F7" s="7">
        <v>150.0</v>
      </c>
      <c r="G7" s="7" t="s">
        <v>144</v>
      </c>
      <c r="H7" s="7" t="s">
        <v>102</v>
      </c>
      <c r="I7" s="7">
        <v>2797.0</v>
      </c>
      <c r="J7" s="7" t="s">
        <v>145</v>
      </c>
      <c r="K7" s="9">
        <f>0.7457*15</f>
        <v>11.1855</v>
      </c>
      <c r="L7" s="10">
        <v>89.4</v>
      </c>
      <c r="M7" s="7" t="s">
        <v>35</v>
      </c>
      <c r="N7" s="8"/>
      <c r="O7" s="8"/>
      <c r="P7" s="8"/>
      <c r="Q7" s="8"/>
      <c r="R7" s="8"/>
      <c r="S7" s="8"/>
      <c r="T7" s="8"/>
    </row>
    <row r="8" ht="14.25" customHeight="1">
      <c r="A8" s="7">
        <v>6.0</v>
      </c>
      <c r="B8" s="7" t="s">
        <v>157</v>
      </c>
      <c r="C8" s="7" t="s">
        <v>158</v>
      </c>
      <c r="D8" s="7" t="s">
        <v>159</v>
      </c>
      <c r="E8" s="7">
        <v>3181.0</v>
      </c>
      <c r="F8" s="7">
        <v>150.0</v>
      </c>
      <c r="G8" s="7" t="s">
        <v>144</v>
      </c>
      <c r="H8" s="7" t="s">
        <v>97</v>
      </c>
      <c r="I8" s="7">
        <v>2657.0</v>
      </c>
      <c r="J8" s="7" t="s">
        <v>108</v>
      </c>
      <c r="K8" s="7">
        <v>5.5</v>
      </c>
      <c r="L8" s="10">
        <v>87.0</v>
      </c>
      <c r="M8" s="7" t="s">
        <v>35</v>
      </c>
      <c r="N8" s="8"/>
      <c r="O8" s="8"/>
      <c r="P8" s="8"/>
      <c r="Q8" s="8"/>
      <c r="R8" s="8"/>
      <c r="S8" s="8"/>
      <c r="T8" s="8"/>
    </row>
    <row r="9" ht="14.25" customHeight="1">
      <c r="A9" s="7">
        <v>7.0</v>
      </c>
      <c r="B9" s="7" t="s">
        <v>160</v>
      </c>
      <c r="C9" s="7" t="s">
        <v>161</v>
      </c>
      <c r="D9" s="7" t="s">
        <v>162</v>
      </c>
      <c r="E9" s="7">
        <v>6865.0</v>
      </c>
      <c r="F9" s="7">
        <v>150.0</v>
      </c>
      <c r="G9" s="7" t="s">
        <v>144</v>
      </c>
      <c r="H9" s="7" t="s">
        <v>163</v>
      </c>
      <c r="I9" s="7">
        <v>1399.0</v>
      </c>
      <c r="J9" s="7" t="s">
        <v>164</v>
      </c>
      <c r="K9" s="7">
        <v>5.5</v>
      </c>
      <c r="L9" s="10">
        <v>91.2</v>
      </c>
      <c r="M9" s="7" t="s">
        <v>59</v>
      </c>
      <c r="N9" s="8"/>
      <c r="O9" s="8"/>
      <c r="P9" s="8"/>
      <c r="Q9" s="8"/>
      <c r="R9" s="8"/>
      <c r="S9" s="8"/>
      <c r="T9" s="8"/>
    </row>
    <row r="10" ht="14.25" customHeight="1">
      <c r="A10" s="7">
        <v>8.0</v>
      </c>
      <c r="B10" s="7" t="s">
        <v>165</v>
      </c>
      <c r="C10" s="7" t="s">
        <v>166</v>
      </c>
      <c r="D10" s="7" t="s">
        <v>167</v>
      </c>
      <c r="E10" s="7">
        <v>7382.0</v>
      </c>
      <c r="F10" s="7">
        <v>150.0</v>
      </c>
      <c r="G10" s="7" t="s">
        <v>144</v>
      </c>
      <c r="H10" s="7" t="s">
        <v>102</v>
      </c>
      <c r="I10" s="7">
        <v>2880.0</v>
      </c>
      <c r="J10" s="7" t="s">
        <v>145</v>
      </c>
      <c r="K10" s="9">
        <f>0.7457*15</f>
        <v>11.1855</v>
      </c>
      <c r="L10" s="10">
        <v>91.2</v>
      </c>
      <c r="M10" s="7" t="s">
        <v>59</v>
      </c>
      <c r="N10" s="8"/>
      <c r="O10" s="8"/>
      <c r="P10" s="8"/>
      <c r="Q10" s="8"/>
      <c r="R10" s="8"/>
      <c r="S10" s="8"/>
      <c r="T10" s="8"/>
    </row>
    <row r="11" ht="14.25" customHeight="1">
      <c r="A11" s="7">
        <v>9.0</v>
      </c>
      <c r="B11" s="7" t="s">
        <v>168</v>
      </c>
      <c r="C11" s="7" t="s">
        <v>169</v>
      </c>
      <c r="D11" s="7" t="s">
        <v>31</v>
      </c>
      <c r="E11" s="7">
        <v>9991.0</v>
      </c>
      <c r="F11" s="7">
        <v>150.0</v>
      </c>
      <c r="G11" s="7" t="s">
        <v>144</v>
      </c>
      <c r="H11" s="7" t="s">
        <v>170</v>
      </c>
      <c r="I11" s="7">
        <v>2736.0</v>
      </c>
      <c r="J11" s="7" t="s">
        <v>171</v>
      </c>
      <c r="K11" s="9">
        <v>15.0</v>
      </c>
      <c r="L11" s="10">
        <v>90.3</v>
      </c>
      <c r="M11" s="7" t="s">
        <v>59</v>
      </c>
      <c r="N11" s="8"/>
      <c r="O11" s="8"/>
      <c r="P11" s="8"/>
      <c r="Q11" s="8"/>
      <c r="R11" s="8"/>
      <c r="S11" s="8"/>
      <c r="T11" s="8"/>
    </row>
    <row r="12" ht="14.25" customHeight="1">
      <c r="A12" s="7">
        <v>10.0</v>
      </c>
      <c r="B12" s="7" t="s">
        <v>172</v>
      </c>
      <c r="C12" s="7" t="s">
        <v>173</v>
      </c>
      <c r="D12" s="7" t="s">
        <v>174</v>
      </c>
      <c r="E12" s="7">
        <v>606.0</v>
      </c>
      <c r="F12" s="7">
        <v>150.0</v>
      </c>
      <c r="G12" s="7" t="s">
        <v>144</v>
      </c>
      <c r="H12" s="7" t="s">
        <v>113</v>
      </c>
      <c r="I12" s="7">
        <v>2955.0</v>
      </c>
      <c r="J12" s="7" t="s">
        <v>175</v>
      </c>
      <c r="K12" s="7">
        <v>2.24</v>
      </c>
      <c r="L12" s="10">
        <v>83.2</v>
      </c>
      <c r="M12" s="7" t="s">
        <v>35</v>
      </c>
      <c r="N12" s="8"/>
      <c r="O12" s="8"/>
      <c r="P12" s="8"/>
      <c r="Q12" s="8"/>
      <c r="R12" s="8"/>
      <c r="S12" s="8"/>
      <c r="T12" s="8"/>
    </row>
    <row r="13" ht="14.25" customHeight="1">
      <c r="A13" s="7">
        <v>11.0</v>
      </c>
      <c r="B13" s="7" t="s">
        <v>176</v>
      </c>
      <c r="C13" s="7" t="s">
        <v>177</v>
      </c>
      <c r="D13" s="7" t="s">
        <v>178</v>
      </c>
      <c r="E13" s="7">
        <v>3074.0</v>
      </c>
      <c r="F13" s="7">
        <v>150.0</v>
      </c>
      <c r="G13" s="7" t="s">
        <v>144</v>
      </c>
      <c r="H13" s="7" t="s">
        <v>179</v>
      </c>
      <c r="I13" s="7">
        <v>2814.0</v>
      </c>
      <c r="J13" s="7" t="s">
        <v>44</v>
      </c>
      <c r="K13" s="7">
        <v>5.5</v>
      </c>
      <c r="L13" s="10">
        <v>85.7</v>
      </c>
      <c r="M13" s="7" t="s">
        <v>35</v>
      </c>
      <c r="N13" s="8"/>
      <c r="O13" s="8"/>
      <c r="P13" s="8"/>
      <c r="Q13" s="8"/>
      <c r="R13" s="8"/>
      <c r="S13" s="8"/>
      <c r="T13" s="8"/>
    </row>
    <row r="14" ht="14.25" customHeight="1">
      <c r="A14" s="7">
        <v>12.0</v>
      </c>
      <c r="B14" s="7" t="s">
        <v>180</v>
      </c>
      <c r="C14" s="7" t="s">
        <v>181</v>
      </c>
      <c r="D14" s="7" t="s">
        <v>182</v>
      </c>
      <c r="E14" s="7">
        <v>2500.0</v>
      </c>
      <c r="F14" s="7">
        <v>150.0</v>
      </c>
      <c r="G14" s="7" t="s">
        <v>144</v>
      </c>
      <c r="H14" s="7" t="s">
        <v>183</v>
      </c>
      <c r="I14" s="11" t="s">
        <v>28</v>
      </c>
      <c r="J14" s="10" t="s">
        <v>27</v>
      </c>
      <c r="K14" s="7">
        <v>3.73</v>
      </c>
      <c r="L14" s="10">
        <v>85.9</v>
      </c>
      <c r="M14" s="7" t="s">
        <v>35</v>
      </c>
      <c r="N14" s="8"/>
      <c r="O14" s="8"/>
      <c r="P14" s="8"/>
      <c r="Q14" s="8"/>
      <c r="R14" s="8"/>
      <c r="S14" s="8"/>
      <c r="T14" s="8"/>
    </row>
    <row r="15" ht="14.25" customHeight="1">
      <c r="A15" s="7">
        <v>13.0</v>
      </c>
      <c r="B15" s="7" t="s">
        <v>184</v>
      </c>
      <c r="C15" s="7" t="s">
        <v>185</v>
      </c>
      <c r="D15" s="7" t="s">
        <v>186</v>
      </c>
      <c r="E15" s="7">
        <v>495.0</v>
      </c>
      <c r="F15" s="7">
        <v>150.0</v>
      </c>
      <c r="G15" s="7" t="s">
        <v>144</v>
      </c>
      <c r="H15" s="7" t="s">
        <v>113</v>
      </c>
      <c r="I15" s="7">
        <v>2955.0</v>
      </c>
      <c r="J15" s="7" t="s">
        <v>187</v>
      </c>
      <c r="K15" s="7">
        <v>2.24</v>
      </c>
      <c r="L15" s="10">
        <v>83.2</v>
      </c>
      <c r="M15" s="7" t="s">
        <v>35</v>
      </c>
      <c r="N15" s="8"/>
      <c r="O15" s="8"/>
      <c r="P15" s="8"/>
      <c r="Q15" s="8"/>
      <c r="R15" s="8"/>
      <c r="S15" s="8"/>
      <c r="T15" s="8"/>
    </row>
    <row r="16" ht="14.25" customHeight="1">
      <c r="A16" s="7">
        <v>14.0</v>
      </c>
      <c r="B16" s="7" t="s">
        <v>188</v>
      </c>
      <c r="C16" s="7" t="s">
        <v>189</v>
      </c>
      <c r="D16" s="7" t="s">
        <v>190</v>
      </c>
      <c r="E16" s="7">
        <v>7150.0</v>
      </c>
      <c r="F16" s="7">
        <v>147.0</v>
      </c>
      <c r="G16" s="7" t="s">
        <v>144</v>
      </c>
      <c r="H16" s="11" t="s">
        <v>33</v>
      </c>
      <c r="I16" s="7">
        <v>1458.0</v>
      </c>
      <c r="J16" s="7" t="s">
        <v>191</v>
      </c>
      <c r="K16" s="9">
        <f>0.7457*15</f>
        <v>11.1855</v>
      </c>
      <c r="L16" s="15">
        <v>91.4</v>
      </c>
      <c r="M16" s="7" t="s">
        <v>59</v>
      </c>
      <c r="N16" s="8"/>
      <c r="O16" s="8"/>
      <c r="P16" s="8"/>
      <c r="Q16" s="8"/>
      <c r="R16" s="8"/>
      <c r="S16" s="8"/>
      <c r="T16" s="8"/>
    </row>
    <row r="17" ht="14.25" customHeight="1">
      <c r="A17" s="7">
        <v>15.0</v>
      </c>
      <c r="B17" s="7" t="s">
        <v>192</v>
      </c>
      <c r="C17" s="7" t="s">
        <v>193</v>
      </c>
      <c r="D17" s="7" t="s">
        <v>194</v>
      </c>
      <c r="E17" s="7">
        <v>9648.0</v>
      </c>
      <c r="F17" s="7">
        <v>135.0</v>
      </c>
      <c r="G17" s="7" t="s">
        <v>144</v>
      </c>
      <c r="H17" s="7" t="s">
        <v>195</v>
      </c>
      <c r="I17" s="11" t="s">
        <v>28</v>
      </c>
      <c r="J17" s="7" t="s">
        <v>196</v>
      </c>
      <c r="K17" s="7">
        <v>5.5</v>
      </c>
      <c r="L17" s="10">
        <v>87.7</v>
      </c>
      <c r="M17" s="7" t="s">
        <v>28</v>
      </c>
      <c r="N17" s="8"/>
      <c r="O17" s="8"/>
      <c r="P17" s="8"/>
      <c r="Q17" s="8"/>
      <c r="R17" s="8"/>
      <c r="S17" s="8"/>
      <c r="T17" s="8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3.86"/>
    <col customWidth="1" min="3" max="3" width="14.86"/>
    <col customWidth="1" min="4" max="4" width="41.71"/>
    <col customWidth="1" min="5" max="5" width="13.0"/>
    <col customWidth="1" min="6" max="6" width="17.29"/>
    <col customWidth="1" min="7" max="7" width="39.86"/>
    <col customWidth="1" min="8" max="8" width="33.0"/>
    <col customWidth="1" min="9" max="9" width="15.86"/>
    <col customWidth="1" min="10" max="10" width="9.86"/>
    <col customWidth="1" min="11" max="11" width="17.29"/>
    <col customWidth="1" min="12" max="12" width="11.57"/>
    <col customWidth="1" min="13" max="13" width="9.0"/>
    <col customWidth="1" min="14" max="14" width="27.86"/>
    <col customWidth="1" min="15" max="15" width="8.71"/>
    <col customWidth="1" min="16" max="16" width="10.57"/>
    <col customWidth="1" min="17" max="18" width="8.71"/>
    <col customWidth="1" min="19" max="19" width="9.86"/>
    <col customWidth="1" min="20" max="20" width="8.71"/>
    <col customWidth="1" min="21" max="21" width="11.57"/>
    <col customWidth="1" min="22" max="26" width="8.71"/>
  </cols>
  <sheetData>
    <row r="1" ht="14.25" customHeight="1">
      <c r="A1" s="16" t="s">
        <v>197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P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11</v>
      </c>
      <c r="K2" s="2" t="s">
        <v>10</v>
      </c>
      <c r="L2" s="2" t="s">
        <v>12</v>
      </c>
      <c r="M2" s="2" t="s">
        <v>13</v>
      </c>
      <c r="N2" s="2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ht="14.25" customHeight="1">
      <c r="A3" s="6">
        <v>1.0</v>
      </c>
      <c r="B3" s="6" t="s">
        <v>198</v>
      </c>
      <c r="C3" s="6" t="s">
        <v>199</v>
      </c>
      <c r="D3" s="6" t="s">
        <v>200</v>
      </c>
      <c r="E3" s="6">
        <v>15000.0</v>
      </c>
      <c r="F3" s="6" t="s">
        <v>201</v>
      </c>
      <c r="G3" s="6" t="s">
        <v>202</v>
      </c>
      <c r="H3" s="6" t="s">
        <v>203</v>
      </c>
      <c r="I3" s="6">
        <v>1237.0</v>
      </c>
      <c r="J3" s="6">
        <v>15.0</v>
      </c>
      <c r="K3" s="6" t="s">
        <v>204</v>
      </c>
      <c r="L3" s="6">
        <v>90.0</v>
      </c>
      <c r="M3" s="6"/>
      <c r="N3" s="6"/>
      <c r="O3" s="8"/>
      <c r="P3" s="8"/>
      <c r="Q3" s="8"/>
      <c r="R3" s="8"/>
      <c r="S3" s="8"/>
      <c r="T3" s="8"/>
      <c r="U3" s="8"/>
    </row>
    <row r="4" ht="14.25" customHeight="1">
      <c r="A4" s="6">
        <v>2.0</v>
      </c>
      <c r="B4" s="6" t="s">
        <v>205</v>
      </c>
      <c r="C4" s="6" t="s">
        <v>206</v>
      </c>
      <c r="D4" s="6" t="s">
        <v>207</v>
      </c>
      <c r="E4" s="6">
        <v>4859.0</v>
      </c>
      <c r="F4" s="6" t="s">
        <v>208</v>
      </c>
      <c r="G4" s="6" t="s">
        <v>202</v>
      </c>
      <c r="H4" s="6" t="s">
        <v>209</v>
      </c>
      <c r="I4" s="6">
        <v>2503.0</v>
      </c>
      <c r="J4" s="6">
        <v>7.5</v>
      </c>
      <c r="K4" s="6" t="s">
        <v>210</v>
      </c>
      <c r="L4" s="6">
        <v>87.5</v>
      </c>
      <c r="M4" s="6"/>
      <c r="N4" s="6"/>
      <c r="O4" s="8"/>
      <c r="P4" s="8"/>
      <c r="Q4" s="8"/>
      <c r="R4" s="8"/>
      <c r="S4" s="8"/>
      <c r="T4" s="8"/>
      <c r="U4" s="8"/>
    </row>
    <row r="5" ht="14.25" customHeight="1">
      <c r="A5" s="6">
        <v>3.0</v>
      </c>
      <c r="B5" s="6" t="s">
        <v>211</v>
      </c>
      <c r="C5" s="6" t="s">
        <v>212</v>
      </c>
      <c r="D5" s="6" t="s">
        <v>213</v>
      </c>
      <c r="E5" s="6">
        <v>4918.0</v>
      </c>
      <c r="F5" s="6" t="s">
        <v>208</v>
      </c>
      <c r="G5" s="6" t="s">
        <v>202</v>
      </c>
      <c r="H5" s="6" t="s">
        <v>209</v>
      </c>
      <c r="I5" s="6">
        <v>2512.0</v>
      </c>
      <c r="J5" s="6">
        <v>7.5</v>
      </c>
      <c r="K5" s="6" t="s">
        <v>210</v>
      </c>
      <c r="L5" s="6">
        <v>87.5</v>
      </c>
      <c r="M5" s="6"/>
      <c r="N5" s="18"/>
      <c r="O5" s="8"/>
      <c r="P5" s="8"/>
      <c r="Q5" s="8"/>
      <c r="R5" s="8"/>
      <c r="S5" s="8"/>
      <c r="T5" s="8"/>
      <c r="U5" s="8"/>
    </row>
    <row r="6" ht="14.25" customHeight="1">
      <c r="A6" s="6">
        <v>4.0</v>
      </c>
      <c r="B6" s="6" t="s">
        <v>214</v>
      </c>
      <c r="C6" s="6" t="s">
        <v>215</v>
      </c>
      <c r="D6" s="6" t="s">
        <v>216</v>
      </c>
      <c r="E6" s="6">
        <v>4858.0</v>
      </c>
      <c r="F6" s="6" t="s">
        <v>208</v>
      </c>
      <c r="G6" s="6" t="s">
        <v>202</v>
      </c>
      <c r="H6" s="6" t="s">
        <v>209</v>
      </c>
      <c r="I6" s="6">
        <v>2503.0</v>
      </c>
      <c r="J6" s="6">
        <v>7.5</v>
      </c>
      <c r="K6" s="6" t="s">
        <v>210</v>
      </c>
      <c r="L6" s="6">
        <v>87.5</v>
      </c>
      <c r="M6" s="6"/>
      <c r="N6" s="18"/>
      <c r="O6" s="8"/>
      <c r="P6" s="8"/>
      <c r="Q6" s="8"/>
      <c r="R6" s="8"/>
      <c r="S6" s="8"/>
      <c r="T6" s="8"/>
      <c r="U6" s="8"/>
    </row>
    <row r="7" ht="14.25" customHeight="1">
      <c r="A7" s="6">
        <v>5.0</v>
      </c>
      <c r="B7" s="6" t="s">
        <v>217</v>
      </c>
      <c r="C7" s="6" t="s">
        <v>218</v>
      </c>
      <c r="D7" s="6" t="s">
        <v>219</v>
      </c>
      <c r="E7" s="6">
        <v>4851.0</v>
      </c>
      <c r="F7" s="6" t="s">
        <v>208</v>
      </c>
      <c r="G7" s="6" t="s">
        <v>202</v>
      </c>
      <c r="H7" s="6" t="s">
        <v>209</v>
      </c>
      <c r="I7" s="6">
        <v>2501.0</v>
      </c>
      <c r="J7" s="6">
        <v>7.5</v>
      </c>
      <c r="K7" s="6" t="s">
        <v>210</v>
      </c>
      <c r="L7" s="6">
        <v>87.5</v>
      </c>
      <c r="M7" s="6"/>
      <c r="N7" s="18"/>
      <c r="O7" s="8"/>
      <c r="P7" s="8"/>
      <c r="Q7" s="8"/>
      <c r="R7" s="8"/>
      <c r="S7" s="8"/>
      <c r="T7" s="8"/>
      <c r="U7" s="8"/>
    </row>
    <row r="8" ht="14.25" customHeight="1">
      <c r="A8" s="19">
        <v>6.0</v>
      </c>
      <c r="B8" s="19" t="s">
        <v>220</v>
      </c>
      <c r="C8" s="19" t="s">
        <v>221</v>
      </c>
      <c r="D8" s="19" t="s">
        <v>222</v>
      </c>
      <c r="E8" s="19">
        <v>15860.0</v>
      </c>
      <c r="F8" s="19" t="s">
        <v>208</v>
      </c>
      <c r="G8" s="19"/>
      <c r="H8" s="19"/>
      <c r="I8" s="19"/>
      <c r="J8" s="19"/>
      <c r="K8" s="19"/>
      <c r="L8" s="19"/>
      <c r="M8" s="19"/>
      <c r="N8" s="18"/>
      <c r="O8" s="8"/>
      <c r="P8" s="8"/>
      <c r="Q8" s="8"/>
      <c r="R8" s="8"/>
      <c r="S8" s="8"/>
      <c r="T8" s="8"/>
      <c r="U8" s="8"/>
    </row>
    <row r="9" ht="14.25" customHeight="1">
      <c r="A9" s="6">
        <v>7.0</v>
      </c>
      <c r="B9" s="6" t="s">
        <v>223</v>
      </c>
      <c r="C9" s="6" t="s">
        <v>224</v>
      </c>
      <c r="D9" s="6" t="s">
        <v>225</v>
      </c>
      <c r="E9" s="6">
        <v>1300.0</v>
      </c>
      <c r="F9" s="6" t="s">
        <v>208</v>
      </c>
      <c r="G9" s="6" t="s">
        <v>202</v>
      </c>
      <c r="H9" s="6" t="s">
        <v>226</v>
      </c>
      <c r="I9" s="6">
        <v>2873.0</v>
      </c>
      <c r="J9" s="6">
        <v>3.7</v>
      </c>
      <c r="K9" s="6" t="s">
        <v>227</v>
      </c>
      <c r="L9" s="6">
        <v>84.0</v>
      </c>
      <c r="M9" s="6"/>
      <c r="N9" s="18"/>
      <c r="O9" s="8"/>
      <c r="P9" s="8"/>
      <c r="Q9" s="8"/>
      <c r="R9" s="8"/>
      <c r="S9" s="8"/>
      <c r="T9" s="8"/>
      <c r="U9" s="8"/>
    </row>
    <row r="10" ht="14.25" customHeight="1">
      <c r="A10" s="6">
        <v>8.0</v>
      </c>
      <c r="B10" s="6" t="s">
        <v>228</v>
      </c>
      <c r="C10" s="6" t="s">
        <v>229</v>
      </c>
      <c r="D10" s="6" t="s">
        <v>230</v>
      </c>
      <c r="E10" s="6">
        <v>700.0</v>
      </c>
      <c r="F10" s="6" t="s">
        <v>208</v>
      </c>
      <c r="G10" s="6" t="s">
        <v>202</v>
      </c>
      <c r="H10" s="6" t="s">
        <v>226</v>
      </c>
      <c r="I10" s="6">
        <v>2844.0</v>
      </c>
      <c r="J10" s="6">
        <v>2.2</v>
      </c>
      <c r="K10" s="6" t="s">
        <v>231</v>
      </c>
      <c r="L10" s="6">
        <v>81.0</v>
      </c>
      <c r="M10" s="6"/>
      <c r="N10" s="18"/>
      <c r="O10" s="8"/>
      <c r="P10" s="8"/>
      <c r="Q10" s="8"/>
      <c r="R10" s="8"/>
      <c r="S10" s="8"/>
      <c r="T10" s="8"/>
      <c r="U10" s="8"/>
    </row>
    <row r="11" ht="14.25" customHeight="1">
      <c r="A11" s="19">
        <v>9.0</v>
      </c>
      <c r="B11" s="19" t="s">
        <v>232</v>
      </c>
      <c r="C11" s="19" t="s">
        <v>233</v>
      </c>
      <c r="D11" s="19" t="s">
        <v>222</v>
      </c>
      <c r="E11" s="19">
        <v>6702.0</v>
      </c>
      <c r="F11" s="19" t="s">
        <v>208</v>
      </c>
      <c r="G11" s="19"/>
      <c r="H11" s="19"/>
      <c r="I11" s="19"/>
      <c r="J11" s="19"/>
      <c r="K11" s="19"/>
      <c r="L11" s="19"/>
      <c r="M11" s="19"/>
      <c r="N11" s="18"/>
      <c r="O11" s="8"/>
      <c r="P11" s="8"/>
      <c r="Q11" s="8"/>
      <c r="R11" s="8"/>
      <c r="S11" s="8"/>
      <c r="T11" s="8"/>
      <c r="U11" s="8"/>
    </row>
    <row r="12" ht="14.25" customHeight="1">
      <c r="A12" s="6">
        <v>10.0</v>
      </c>
      <c r="B12" s="6" t="s">
        <v>234</v>
      </c>
      <c r="C12" s="6" t="s">
        <v>235</v>
      </c>
      <c r="D12" s="6" t="s">
        <v>236</v>
      </c>
      <c r="E12" s="6">
        <v>918.0</v>
      </c>
      <c r="F12" s="6" t="s">
        <v>208</v>
      </c>
      <c r="G12" s="6" t="s">
        <v>202</v>
      </c>
      <c r="H12" s="6" t="s">
        <v>226</v>
      </c>
      <c r="I12" s="6">
        <v>2858.0</v>
      </c>
      <c r="J12" s="6">
        <v>2.2</v>
      </c>
      <c r="K12" s="6" t="s">
        <v>237</v>
      </c>
      <c r="L12" s="6">
        <v>82.0</v>
      </c>
      <c r="M12" s="6"/>
      <c r="N12" s="18"/>
      <c r="O12" s="8"/>
      <c r="P12" s="8"/>
      <c r="Q12" s="8"/>
      <c r="R12" s="8"/>
      <c r="S12" s="8"/>
      <c r="T12" s="8"/>
      <c r="U12" s="8"/>
    </row>
    <row r="13" ht="14.25" customHeight="1">
      <c r="A13" s="6">
        <v>11.0</v>
      </c>
      <c r="B13" s="6" t="s">
        <v>238</v>
      </c>
      <c r="C13" s="6" t="s">
        <v>239</v>
      </c>
      <c r="D13" s="6" t="s">
        <v>240</v>
      </c>
      <c r="E13" s="6">
        <v>4432.0</v>
      </c>
      <c r="F13" s="6" t="s">
        <v>208</v>
      </c>
      <c r="G13" s="6" t="s">
        <v>202</v>
      </c>
      <c r="H13" s="6" t="s">
        <v>209</v>
      </c>
      <c r="I13" s="6">
        <v>2442.0</v>
      </c>
      <c r="J13" s="6">
        <v>7.5</v>
      </c>
      <c r="K13" s="6" t="s">
        <v>210</v>
      </c>
      <c r="L13" s="6">
        <v>87.5</v>
      </c>
      <c r="M13" s="6"/>
      <c r="N13" s="18"/>
      <c r="O13" s="8"/>
      <c r="P13" s="8"/>
      <c r="Q13" s="8"/>
      <c r="R13" s="8"/>
      <c r="S13" s="8"/>
      <c r="T13" s="8"/>
      <c r="U13" s="8"/>
    </row>
    <row r="14" ht="14.25" customHeight="1">
      <c r="A14" s="6">
        <v>12.0</v>
      </c>
      <c r="B14" s="6" t="s">
        <v>241</v>
      </c>
      <c r="C14" s="6" t="s">
        <v>242</v>
      </c>
      <c r="D14" s="6" t="s">
        <v>243</v>
      </c>
      <c r="E14" s="6">
        <v>14272.0</v>
      </c>
      <c r="F14" s="6" t="s">
        <v>201</v>
      </c>
      <c r="G14" s="6" t="s">
        <v>202</v>
      </c>
      <c r="H14" s="6" t="s">
        <v>203</v>
      </c>
      <c r="I14" s="6">
        <v>1215.0</v>
      </c>
      <c r="J14" s="6">
        <v>15.0</v>
      </c>
      <c r="K14" s="6" t="s">
        <v>204</v>
      </c>
      <c r="L14" s="6">
        <v>90.0</v>
      </c>
      <c r="M14" s="6"/>
      <c r="N14" s="18"/>
      <c r="O14" s="8"/>
      <c r="P14" s="8"/>
      <c r="Q14" s="8"/>
      <c r="R14" s="8"/>
      <c r="S14" s="8"/>
      <c r="T14" s="8"/>
      <c r="U14" s="8"/>
    </row>
    <row r="15" ht="14.25" customHeight="1">
      <c r="A15" s="18">
        <v>13.0</v>
      </c>
      <c r="B15" s="18" t="s">
        <v>244</v>
      </c>
      <c r="C15" s="18" t="s">
        <v>245</v>
      </c>
      <c r="D15" s="18" t="s">
        <v>246</v>
      </c>
      <c r="E15" s="18">
        <v>6692.0</v>
      </c>
      <c r="F15" s="6" t="s">
        <v>208</v>
      </c>
      <c r="G15" s="6" t="s">
        <v>202</v>
      </c>
      <c r="H15" s="6" t="s">
        <v>209</v>
      </c>
      <c r="I15" s="18">
        <v>2904.0</v>
      </c>
      <c r="J15" s="18">
        <v>11.0</v>
      </c>
      <c r="K15" s="6" t="s">
        <v>247</v>
      </c>
      <c r="L15" s="6">
        <v>88.5</v>
      </c>
      <c r="M15" s="18"/>
      <c r="N15" s="18"/>
      <c r="O15" s="8"/>
      <c r="P15" s="8"/>
      <c r="Q15" s="8"/>
      <c r="R15" s="8"/>
      <c r="S15" s="8"/>
      <c r="T15" s="8"/>
      <c r="U15" s="8"/>
    </row>
    <row r="16" ht="14.25" customHeight="1">
      <c r="A16" s="19">
        <v>14.0</v>
      </c>
      <c r="B16" s="19" t="s">
        <v>248</v>
      </c>
      <c r="C16" s="19" t="s">
        <v>249</v>
      </c>
      <c r="D16" s="19" t="s">
        <v>250</v>
      </c>
      <c r="E16" s="19">
        <v>15053.0</v>
      </c>
      <c r="F16" s="19" t="s">
        <v>201</v>
      </c>
      <c r="G16" s="19"/>
      <c r="H16" s="19"/>
      <c r="I16" s="19"/>
      <c r="J16" s="19"/>
      <c r="K16" s="19"/>
      <c r="L16" s="19"/>
      <c r="M16" s="19"/>
      <c r="N16" s="18"/>
      <c r="O16" s="8"/>
      <c r="P16" s="8"/>
      <c r="Q16" s="8"/>
      <c r="R16" s="8"/>
      <c r="S16" s="8"/>
      <c r="T16" s="8"/>
      <c r="U16" s="8"/>
    </row>
    <row r="17" ht="14.25" customHeight="1">
      <c r="A17" s="6">
        <v>15.0</v>
      </c>
      <c r="B17" s="6" t="s">
        <v>251</v>
      </c>
      <c r="C17" s="6" t="s">
        <v>252</v>
      </c>
      <c r="D17" s="6" t="s">
        <v>253</v>
      </c>
      <c r="E17" s="6">
        <v>5000.0</v>
      </c>
      <c r="F17" s="6" t="s">
        <v>208</v>
      </c>
      <c r="G17" s="6" t="s">
        <v>202</v>
      </c>
      <c r="H17" s="6" t="s">
        <v>209</v>
      </c>
      <c r="I17" s="6">
        <v>2527.0</v>
      </c>
      <c r="J17" s="6">
        <v>7.5</v>
      </c>
      <c r="K17" s="6" t="s">
        <v>254</v>
      </c>
      <c r="L17" s="6">
        <v>87.0</v>
      </c>
      <c r="M17" s="6"/>
      <c r="N17" s="20"/>
      <c r="O17" s="8"/>
      <c r="P17" s="8"/>
      <c r="Q17" s="8"/>
      <c r="R17" s="8"/>
      <c r="S17" s="8"/>
      <c r="T17" s="8"/>
      <c r="U17" s="8"/>
    </row>
    <row r="18" ht="14.25" customHeight="1">
      <c r="A18" s="6">
        <v>16.0</v>
      </c>
      <c r="B18" s="6" t="s">
        <v>255</v>
      </c>
      <c r="C18" s="6" t="s">
        <v>256</v>
      </c>
      <c r="D18" s="6" t="s">
        <v>257</v>
      </c>
      <c r="E18" s="6">
        <v>5213.0</v>
      </c>
      <c r="F18" s="6" t="s">
        <v>208</v>
      </c>
      <c r="G18" s="6" t="s">
        <v>202</v>
      </c>
      <c r="H18" s="6" t="s">
        <v>209</v>
      </c>
      <c r="I18" s="6">
        <v>2566.0</v>
      </c>
      <c r="J18" s="6">
        <v>7.5</v>
      </c>
      <c r="K18" s="6" t="s">
        <v>254</v>
      </c>
      <c r="L18" s="6">
        <v>87.0</v>
      </c>
      <c r="M18" s="6"/>
      <c r="N18" s="18"/>
      <c r="O18" s="8"/>
      <c r="P18" s="8"/>
      <c r="Q18" s="8"/>
      <c r="R18" s="8"/>
      <c r="S18" s="8"/>
      <c r="T18" s="8"/>
      <c r="U18" s="8"/>
    </row>
    <row r="19" ht="14.25" customHeight="1">
      <c r="A19" s="6">
        <v>17.0</v>
      </c>
      <c r="B19" s="6" t="s">
        <v>258</v>
      </c>
      <c r="C19" s="6" t="s">
        <v>259</v>
      </c>
      <c r="D19" s="6" t="s">
        <v>260</v>
      </c>
      <c r="E19" s="6">
        <v>6239.0</v>
      </c>
      <c r="F19" s="6" t="s">
        <v>208</v>
      </c>
      <c r="G19" s="6" t="s">
        <v>202</v>
      </c>
      <c r="H19" s="6" t="s">
        <v>209</v>
      </c>
      <c r="I19" s="6">
        <v>2793.0</v>
      </c>
      <c r="J19" s="6">
        <v>11.0</v>
      </c>
      <c r="K19" s="6" t="s">
        <v>247</v>
      </c>
      <c r="L19" s="6">
        <v>88.0</v>
      </c>
      <c r="M19" s="6"/>
      <c r="N19" s="18"/>
      <c r="O19" s="8"/>
      <c r="P19" s="8"/>
      <c r="Q19" s="8"/>
      <c r="R19" s="8"/>
      <c r="S19" s="8"/>
      <c r="T19" s="8"/>
      <c r="U19" s="8"/>
    </row>
    <row r="20" ht="14.25" customHeight="1">
      <c r="A20" s="6">
        <v>18.0</v>
      </c>
      <c r="B20" s="6" t="s">
        <v>261</v>
      </c>
      <c r="C20" s="6" t="s">
        <v>262</v>
      </c>
      <c r="D20" s="6" t="s">
        <v>263</v>
      </c>
      <c r="E20" s="6">
        <v>5200.0</v>
      </c>
      <c r="F20" s="6" t="s">
        <v>208</v>
      </c>
      <c r="G20" s="6" t="s">
        <v>202</v>
      </c>
      <c r="H20" s="6" t="s">
        <v>209</v>
      </c>
      <c r="I20" s="6">
        <v>2564.0</v>
      </c>
      <c r="J20" s="6">
        <v>7.5</v>
      </c>
      <c r="K20" s="6" t="s">
        <v>210</v>
      </c>
      <c r="L20" s="6">
        <v>87.5</v>
      </c>
      <c r="M20" s="6"/>
      <c r="N20" s="18"/>
      <c r="O20" s="8"/>
      <c r="P20" s="8"/>
      <c r="Q20" s="8"/>
      <c r="R20" s="8"/>
      <c r="S20" s="8"/>
      <c r="T20" s="8"/>
      <c r="U20" s="8"/>
    </row>
    <row r="21" ht="14.25" customHeight="1">
      <c r="A21" s="6">
        <v>19.0</v>
      </c>
      <c r="B21" s="6" t="s">
        <v>264</v>
      </c>
      <c r="C21" s="6" t="s">
        <v>265</v>
      </c>
      <c r="D21" s="6" t="s">
        <v>266</v>
      </c>
      <c r="E21" s="6">
        <v>6500.0</v>
      </c>
      <c r="F21" s="6" t="s">
        <v>208</v>
      </c>
      <c r="G21" s="6" t="s">
        <v>202</v>
      </c>
      <c r="H21" s="6" t="s">
        <v>209</v>
      </c>
      <c r="I21" s="6">
        <v>2856.0</v>
      </c>
      <c r="J21" s="6">
        <v>11.0</v>
      </c>
      <c r="K21" s="6" t="s">
        <v>247</v>
      </c>
      <c r="L21" s="6">
        <v>88.0</v>
      </c>
      <c r="M21" s="6"/>
      <c r="N21" s="18"/>
      <c r="O21" s="8"/>
      <c r="P21" s="8"/>
      <c r="Q21" s="8"/>
      <c r="R21" s="8"/>
      <c r="S21" s="8"/>
      <c r="T21" s="8"/>
      <c r="U21" s="8"/>
    </row>
    <row r="22" ht="14.25" customHeight="1">
      <c r="A22" s="6">
        <v>20.0</v>
      </c>
      <c r="B22" s="6" t="s">
        <v>267</v>
      </c>
      <c r="C22" s="6" t="s">
        <v>268</v>
      </c>
      <c r="D22" s="6" t="s">
        <v>269</v>
      </c>
      <c r="E22" s="6">
        <v>13000.0</v>
      </c>
      <c r="F22" s="6" t="s">
        <v>208</v>
      </c>
      <c r="G22" s="6" t="s">
        <v>202</v>
      </c>
      <c r="H22" s="6" t="s">
        <v>203</v>
      </c>
      <c r="I22" s="6">
        <v>1349.0</v>
      </c>
      <c r="J22" s="6">
        <v>18.5</v>
      </c>
      <c r="K22" s="6" t="s">
        <v>270</v>
      </c>
      <c r="L22" s="6">
        <v>91.5</v>
      </c>
      <c r="M22" s="6"/>
      <c r="N22" s="18"/>
      <c r="O22" s="8"/>
      <c r="P22" s="8"/>
      <c r="Q22" s="8"/>
      <c r="R22" s="8"/>
      <c r="S22" s="8"/>
      <c r="T22" s="8"/>
      <c r="U22" s="8"/>
    </row>
    <row r="23" ht="14.25" customHeight="1">
      <c r="A23" s="6">
        <v>21.0</v>
      </c>
      <c r="B23" s="6" t="s">
        <v>271</v>
      </c>
      <c r="C23" s="6" t="s">
        <v>272</v>
      </c>
      <c r="D23" s="6" t="s">
        <v>273</v>
      </c>
      <c r="E23" s="6">
        <v>14000.0</v>
      </c>
      <c r="F23" s="6" t="s">
        <v>208</v>
      </c>
      <c r="G23" s="6" t="s">
        <v>202</v>
      </c>
      <c r="H23" s="6" t="s">
        <v>203</v>
      </c>
      <c r="I23" s="6">
        <v>1366.0</v>
      </c>
      <c r="J23" s="6">
        <v>18.5</v>
      </c>
      <c r="K23" s="6" t="s">
        <v>270</v>
      </c>
      <c r="L23" s="6">
        <v>91.5</v>
      </c>
      <c r="M23" s="6"/>
      <c r="N23" s="18"/>
      <c r="O23" s="8"/>
      <c r="P23" s="8"/>
      <c r="Q23" s="8"/>
      <c r="R23" s="8"/>
      <c r="S23" s="8"/>
      <c r="T23" s="8"/>
      <c r="U23" s="8"/>
    </row>
    <row r="24" ht="14.25" customHeight="1">
      <c r="A24" s="6">
        <v>22.0</v>
      </c>
      <c r="B24" s="6" t="s">
        <v>274</v>
      </c>
      <c r="C24" s="6" t="s">
        <v>275</v>
      </c>
      <c r="D24" s="6" t="s">
        <v>276</v>
      </c>
      <c r="E24" s="6">
        <v>3500.0</v>
      </c>
      <c r="F24" s="6" t="s">
        <v>208</v>
      </c>
      <c r="G24" s="6" t="s">
        <v>202</v>
      </c>
      <c r="H24" s="6" t="s">
        <v>53</v>
      </c>
      <c r="I24" s="6">
        <v>2809.0</v>
      </c>
      <c r="J24" s="6">
        <v>5.5</v>
      </c>
      <c r="K24" s="6" t="s">
        <v>277</v>
      </c>
      <c r="L24" s="6">
        <v>84.0</v>
      </c>
      <c r="M24" s="6"/>
      <c r="N24" s="6"/>
      <c r="O24" s="8"/>
      <c r="P24" s="8"/>
      <c r="Q24" s="8"/>
      <c r="R24" s="8"/>
      <c r="S24" s="8"/>
      <c r="T24" s="8"/>
      <c r="U24" s="8"/>
    </row>
    <row r="25" ht="14.25" customHeight="1">
      <c r="A25" s="6">
        <v>23.0</v>
      </c>
      <c r="B25" s="6" t="s">
        <v>278</v>
      </c>
      <c r="C25" s="6" t="s">
        <v>279</v>
      </c>
      <c r="D25" s="6" t="s">
        <v>280</v>
      </c>
      <c r="E25" s="6">
        <v>3400.0</v>
      </c>
      <c r="F25" s="6" t="s">
        <v>208</v>
      </c>
      <c r="G25" s="6" t="s">
        <v>202</v>
      </c>
      <c r="H25" s="6" t="s">
        <v>53</v>
      </c>
      <c r="I25" s="6">
        <v>2788.0</v>
      </c>
      <c r="J25" s="6">
        <v>5.5</v>
      </c>
      <c r="K25" s="6" t="s">
        <v>277</v>
      </c>
      <c r="L25" s="6">
        <v>85.7</v>
      </c>
      <c r="M25" s="6"/>
      <c r="N25" s="6"/>
      <c r="O25" s="8"/>
      <c r="P25" s="8"/>
      <c r="Q25" s="8"/>
      <c r="R25" s="8"/>
      <c r="S25" s="8"/>
      <c r="T25" s="8"/>
      <c r="U25" s="8"/>
    </row>
    <row r="26" ht="14.25" customHeight="1">
      <c r="A26" s="6">
        <v>24.0</v>
      </c>
      <c r="B26" s="6" t="s">
        <v>281</v>
      </c>
      <c r="C26" s="6" t="s">
        <v>282</v>
      </c>
      <c r="D26" s="6" t="s">
        <v>283</v>
      </c>
      <c r="E26" s="6">
        <v>3400.0</v>
      </c>
      <c r="F26" s="6" t="s">
        <v>208</v>
      </c>
      <c r="G26" s="6" t="s">
        <v>202</v>
      </c>
      <c r="H26" s="6" t="s">
        <v>53</v>
      </c>
      <c r="I26" s="6">
        <v>2788.0</v>
      </c>
      <c r="J26" s="21" t="s">
        <v>284</v>
      </c>
      <c r="K26" s="22"/>
      <c r="L26" s="23"/>
      <c r="M26" s="6"/>
      <c r="N26" s="19" t="s">
        <v>285</v>
      </c>
      <c r="O26" s="8"/>
      <c r="P26" s="8"/>
      <c r="Q26" s="8"/>
      <c r="R26" s="8"/>
      <c r="S26" s="8"/>
      <c r="T26" s="8"/>
      <c r="U26" s="8"/>
    </row>
    <row r="27" ht="14.25" customHeight="1">
      <c r="A27" s="19">
        <v>25.0</v>
      </c>
      <c r="B27" s="19" t="s">
        <v>286</v>
      </c>
      <c r="C27" s="19" t="s">
        <v>287</v>
      </c>
      <c r="D27" s="19" t="s">
        <v>222</v>
      </c>
      <c r="E27" s="19">
        <v>7500.0</v>
      </c>
      <c r="F27" s="19" t="s">
        <v>208</v>
      </c>
      <c r="G27" s="19"/>
      <c r="H27" s="19"/>
      <c r="I27" s="19"/>
      <c r="J27" s="19"/>
      <c r="K27" s="19"/>
      <c r="L27" s="19"/>
      <c r="M27" s="19"/>
      <c r="N27" s="18"/>
      <c r="O27" s="8"/>
      <c r="P27" s="8"/>
      <c r="Q27" s="8"/>
      <c r="R27" s="8"/>
      <c r="S27" s="8"/>
      <c r="T27" s="8"/>
      <c r="U27" s="8"/>
    </row>
    <row r="28" ht="14.25" customHeight="1">
      <c r="A28" s="6">
        <v>26.0</v>
      </c>
      <c r="B28" s="6" t="s">
        <v>288</v>
      </c>
      <c r="C28" s="6" t="s">
        <v>289</v>
      </c>
      <c r="D28" s="6" t="s">
        <v>290</v>
      </c>
      <c r="E28" s="6">
        <v>4248.0</v>
      </c>
      <c r="F28" s="6" t="s">
        <v>291</v>
      </c>
      <c r="G28" s="6" t="s">
        <v>202</v>
      </c>
      <c r="H28" s="6" t="s">
        <v>53</v>
      </c>
      <c r="I28" s="6">
        <v>2991.0</v>
      </c>
      <c r="J28" s="6">
        <v>5.5</v>
      </c>
      <c r="K28" s="6" t="s">
        <v>44</v>
      </c>
      <c r="L28" s="6">
        <v>85.0</v>
      </c>
      <c r="M28" s="6"/>
      <c r="N28" s="6"/>
      <c r="O28" s="8"/>
      <c r="P28" s="8"/>
      <c r="Q28" s="8"/>
      <c r="R28" s="8"/>
      <c r="S28" s="8"/>
      <c r="T28" s="8"/>
      <c r="U28" s="8"/>
    </row>
    <row r="29" ht="14.25" customHeight="1">
      <c r="A29" s="6">
        <v>27.0</v>
      </c>
      <c r="B29" s="6" t="s">
        <v>292</v>
      </c>
      <c r="C29" s="6" t="s">
        <v>293</v>
      </c>
      <c r="D29" s="6" t="s">
        <v>294</v>
      </c>
      <c r="E29" s="6">
        <v>3835.0</v>
      </c>
      <c r="F29" s="6" t="s">
        <v>208</v>
      </c>
      <c r="G29" s="6" t="s">
        <v>202</v>
      </c>
      <c r="H29" s="6" t="s">
        <v>53</v>
      </c>
      <c r="I29" s="6">
        <v>2884.0</v>
      </c>
      <c r="J29" s="6">
        <v>5.5</v>
      </c>
      <c r="K29" s="6" t="s">
        <v>44</v>
      </c>
      <c r="L29" s="6">
        <v>85.0</v>
      </c>
      <c r="M29" s="6"/>
      <c r="N29" s="6"/>
      <c r="O29" s="8"/>
      <c r="P29" s="8"/>
      <c r="Q29" s="8"/>
      <c r="R29" s="8"/>
      <c r="S29" s="8"/>
      <c r="T29" s="8"/>
      <c r="U29" s="8"/>
    </row>
    <row r="30" ht="14.25" customHeight="1">
      <c r="A30" s="6">
        <v>28.0</v>
      </c>
      <c r="B30" s="6" t="s">
        <v>295</v>
      </c>
      <c r="C30" s="6" t="s">
        <v>296</v>
      </c>
      <c r="D30" s="6" t="s">
        <v>297</v>
      </c>
      <c r="E30" s="6">
        <v>3795.0</v>
      </c>
      <c r="F30" s="6" t="s">
        <v>208</v>
      </c>
      <c r="G30" s="6" t="s">
        <v>202</v>
      </c>
      <c r="H30" s="6" t="s">
        <v>53</v>
      </c>
      <c r="I30" s="6">
        <v>2874.0</v>
      </c>
      <c r="J30" s="6">
        <v>5.5</v>
      </c>
      <c r="K30" s="6" t="s">
        <v>44</v>
      </c>
      <c r="L30" s="6">
        <v>85.0</v>
      </c>
      <c r="M30" s="6"/>
      <c r="N30" s="6"/>
      <c r="O30" s="8"/>
      <c r="P30" s="8"/>
      <c r="Q30" s="8"/>
      <c r="R30" s="8"/>
      <c r="S30" s="8"/>
      <c r="T30" s="8"/>
      <c r="U30" s="8"/>
    </row>
    <row r="31" ht="14.25" customHeight="1">
      <c r="A31" s="6">
        <v>29.0</v>
      </c>
      <c r="B31" s="6" t="s">
        <v>298</v>
      </c>
      <c r="C31" s="6" t="s">
        <v>299</v>
      </c>
      <c r="D31" s="6" t="s">
        <v>300</v>
      </c>
      <c r="E31" s="6">
        <v>3718.0</v>
      </c>
      <c r="F31" s="6" t="s">
        <v>208</v>
      </c>
      <c r="G31" s="6" t="s">
        <v>202</v>
      </c>
      <c r="H31" s="6" t="s">
        <v>53</v>
      </c>
      <c r="I31" s="6">
        <v>2857.0</v>
      </c>
      <c r="J31" s="6">
        <v>5.5</v>
      </c>
      <c r="K31" s="6" t="s">
        <v>44</v>
      </c>
      <c r="L31" s="6">
        <v>85.0</v>
      </c>
      <c r="M31" s="6"/>
      <c r="N31" s="6"/>
      <c r="O31" s="8"/>
      <c r="P31" s="8"/>
      <c r="Q31" s="8"/>
      <c r="R31" s="8"/>
      <c r="S31" s="8"/>
      <c r="T31" s="8"/>
      <c r="U31" s="8"/>
    </row>
    <row r="32" ht="14.25" customHeight="1">
      <c r="A32" s="6">
        <v>30.0</v>
      </c>
      <c r="B32" s="6" t="s">
        <v>301</v>
      </c>
      <c r="C32" s="6" t="s">
        <v>302</v>
      </c>
      <c r="D32" s="6" t="s">
        <v>303</v>
      </c>
      <c r="E32" s="6">
        <v>3753.0</v>
      </c>
      <c r="F32" s="6" t="s">
        <v>208</v>
      </c>
      <c r="G32" s="6" t="s">
        <v>202</v>
      </c>
      <c r="H32" s="6" t="s">
        <v>53</v>
      </c>
      <c r="I32" s="6">
        <v>2865.0</v>
      </c>
      <c r="J32" s="6">
        <v>5.5</v>
      </c>
      <c r="K32" s="6" t="s">
        <v>44</v>
      </c>
      <c r="L32" s="6">
        <v>85.0</v>
      </c>
      <c r="M32" s="6"/>
      <c r="N32" s="6"/>
      <c r="O32" s="8"/>
      <c r="P32" s="8"/>
      <c r="Q32" s="8"/>
      <c r="R32" s="8"/>
      <c r="S32" s="8"/>
      <c r="T32" s="8"/>
      <c r="U32" s="8"/>
    </row>
    <row r="33" ht="14.25" customHeight="1">
      <c r="A33" s="6">
        <v>31.0</v>
      </c>
      <c r="B33" s="6" t="s">
        <v>304</v>
      </c>
      <c r="C33" s="6" t="s">
        <v>305</v>
      </c>
      <c r="D33" s="6" t="s">
        <v>306</v>
      </c>
      <c r="E33" s="6">
        <v>4415.0</v>
      </c>
      <c r="F33" s="6" t="s">
        <v>208</v>
      </c>
      <c r="G33" s="6" t="s">
        <v>202</v>
      </c>
      <c r="H33" s="6" t="s">
        <v>209</v>
      </c>
      <c r="I33" s="6">
        <v>2440.0</v>
      </c>
      <c r="J33" s="6">
        <v>7.5</v>
      </c>
      <c r="K33" s="6" t="s">
        <v>210</v>
      </c>
      <c r="L33" s="6">
        <v>87.5</v>
      </c>
      <c r="M33" s="6"/>
      <c r="N33" s="6"/>
      <c r="O33" s="8"/>
      <c r="P33" s="8"/>
      <c r="Q33" s="8"/>
      <c r="R33" s="8"/>
      <c r="S33" s="8"/>
      <c r="T33" s="8"/>
      <c r="U33" s="8"/>
    </row>
    <row r="34" ht="14.25" customHeight="1">
      <c r="A34" s="6">
        <v>32.0</v>
      </c>
      <c r="B34" s="6" t="s">
        <v>307</v>
      </c>
      <c r="C34" s="6" t="s">
        <v>308</v>
      </c>
      <c r="D34" s="6" t="s">
        <v>309</v>
      </c>
      <c r="E34" s="6">
        <v>4631.0</v>
      </c>
      <c r="F34" s="6" t="s">
        <v>208</v>
      </c>
      <c r="G34" s="6" t="s">
        <v>202</v>
      </c>
      <c r="H34" s="6" t="s">
        <v>209</v>
      </c>
      <c r="I34" s="6">
        <v>2468.0</v>
      </c>
      <c r="J34" s="6">
        <v>7.5</v>
      </c>
      <c r="K34" s="6" t="s">
        <v>210</v>
      </c>
      <c r="L34" s="6">
        <v>87.5</v>
      </c>
      <c r="M34" s="6"/>
      <c r="N34" s="6"/>
      <c r="O34" s="8"/>
      <c r="P34" s="8"/>
      <c r="Q34" s="8"/>
      <c r="R34" s="8"/>
      <c r="S34" s="8"/>
      <c r="T34" s="8"/>
      <c r="U34" s="8"/>
    </row>
    <row r="35" ht="14.25" customHeight="1">
      <c r="A35" s="19">
        <v>33.0</v>
      </c>
      <c r="B35" s="19" t="s">
        <v>310</v>
      </c>
      <c r="C35" s="19" t="s">
        <v>311</v>
      </c>
      <c r="D35" s="19" t="s">
        <v>222</v>
      </c>
      <c r="E35" s="19">
        <v>7100.0</v>
      </c>
      <c r="F35" s="19" t="s">
        <v>208</v>
      </c>
      <c r="G35" s="19"/>
      <c r="H35" s="19"/>
      <c r="I35" s="19"/>
      <c r="J35" s="19"/>
      <c r="K35" s="19"/>
      <c r="L35" s="19"/>
      <c r="M35" s="19"/>
      <c r="N35" s="6"/>
      <c r="O35" s="8"/>
      <c r="P35" s="8"/>
      <c r="Q35" s="8"/>
      <c r="R35" s="8"/>
      <c r="S35" s="8"/>
      <c r="T35" s="8"/>
      <c r="U35" s="8"/>
    </row>
    <row r="36" ht="14.25" customHeight="1">
      <c r="A36" s="19">
        <v>34.0</v>
      </c>
      <c r="B36" s="19" t="s">
        <v>312</v>
      </c>
      <c r="C36" s="19" t="s">
        <v>313</v>
      </c>
      <c r="D36" s="19" t="s">
        <v>314</v>
      </c>
      <c r="E36" s="19">
        <v>9500.0</v>
      </c>
      <c r="F36" s="19" t="s">
        <v>208</v>
      </c>
      <c r="G36" s="19"/>
      <c r="H36" s="19"/>
      <c r="I36" s="19"/>
      <c r="J36" s="19"/>
      <c r="K36" s="19"/>
      <c r="L36" s="19"/>
      <c r="M36" s="19"/>
      <c r="N36" s="6"/>
      <c r="O36" s="8"/>
      <c r="P36" s="8"/>
      <c r="Q36" s="8"/>
      <c r="R36" s="8"/>
      <c r="S36" s="8"/>
      <c r="T36" s="8"/>
      <c r="U36" s="8"/>
    </row>
    <row r="37" ht="14.25" customHeight="1">
      <c r="A37" s="6">
        <v>35.0</v>
      </c>
      <c r="B37" s="6" t="s">
        <v>315</v>
      </c>
      <c r="C37" s="6" t="s">
        <v>316</v>
      </c>
      <c r="D37" s="6" t="s">
        <v>317</v>
      </c>
      <c r="E37" s="6">
        <v>2300.0</v>
      </c>
      <c r="F37" s="6" t="s">
        <v>208</v>
      </c>
      <c r="G37" s="6" t="s">
        <v>202</v>
      </c>
      <c r="H37" s="6" t="s">
        <v>53</v>
      </c>
      <c r="I37" s="6">
        <v>2584.0</v>
      </c>
      <c r="J37" s="6">
        <v>5.5</v>
      </c>
      <c r="K37" s="6" t="s">
        <v>44</v>
      </c>
      <c r="L37" s="6">
        <v>85.0</v>
      </c>
      <c r="M37" s="6"/>
      <c r="N37" s="6"/>
      <c r="O37" s="8"/>
      <c r="P37" s="8"/>
      <c r="Q37" s="8"/>
      <c r="R37" s="8"/>
      <c r="S37" s="8"/>
      <c r="T37" s="8"/>
      <c r="U37" s="8"/>
    </row>
    <row r="38" ht="14.25" customHeight="1">
      <c r="A38" s="6">
        <v>36.0</v>
      </c>
      <c r="B38" s="6" t="s">
        <v>318</v>
      </c>
      <c r="C38" s="6" t="s">
        <v>319</v>
      </c>
      <c r="D38" s="6" t="s">
        <v>320</v>
      </c>
      <c r="E38" s="6">
        <v>700.0</v>
      </c>
      <c r="F38" s="6" t="s">
        <v>208</v>
      </c>
      <c r="G38" s="6" t="s">
        <v>202</v>
      </c>
      <c r="H38" s="6" t="s">
        <v>226</v>
      </c>
      <c r="I38" s="6">
        <v>2844.0</v>
      </c>
      <c r="J38" s="6">
        <v>2.2</v>
      </c>
      <c r="K38" s="6" t="s">
        <v>231</v>
      </c>
      <c r="L38" s="6">
        <v>81.0</v>
      </c>
      <c r="M38" s="6"/>
      <c r="N38" s="6"/>
      <c r="O38" s="8"/>
      <c r="P38" s="8"/>
      <c r="Q38" s="8"/>
      <c r="R38" s="8"/>
      <c r="S38" s="8"/>
      <c r="T38" s="8"/>
      <c r="U38" s="8"/>
    </row>
    <row r="39" ht="14.25" customHeight="1">
      <c r="A39" s="6">
        <v>37.0</v>
      </c>
      <c r="B39" s="6" t="s">
        <v>321</v>
      </c>
      <c r="C39" s="6" t="s">
        <v>322</v>
      </c>
      <c r="D39" s="6" t="s">
        <v>323</v>
      </c>
      <c r="E39" s="6">
        <v>700.0</v>
      </c>
      <c r="F39" s="6" t="s">
        <v>208</v>
      </c>
      <c r="G39" s="6" t="s">
        <v>202</v>
      </c>
      <c r="H39" s="6" t="s">
        <v>226</v>
      </c>
      <c r="I39" s="6">
        <v>2844.0</v>
      </c>
      <c r="J39" s="6">
        <v>2.2</v>
      </c>
      <c r="K39" s="6" t="s">
        <v>231</v>
      </c>
      <c r="L39" s="6">
        <v>81.0</v>
      </c>
      <c r="M39" s="6"/>
      <c r="N39" s="6"/>
      <c r="O39" s="8"/>
      <c r="P39" s="8"/>
      <c r="Q39" s="8"/>
      <c r="R39" s="8"/>
      <c r="S39" s="8"/>
      <c r="T39" s="8"/>
      <c r="U39" s="8"/>
    </row>
    <row r="40" ht="14.25" customHeight="1">
      <c r="A40" s="6">
        <v>38.0</v>
      </c>
      <c r="B40" s="6" t="s">
        <v>324</v>
      </c>
      <c r="C40" s="6" t="s">
        <v>325</v>
      </c>
      <c r="D40" s="6" t="s">
        <v>326</v>
      </c>
      <c r="E40" s="6">
        <v>2300.0</v>
      </c>
      <c r="F40" s="6" t="s">
        <v>208</v>
      </c>
      <c r="G40" s="6" t="s">
        <v>202</v>
      </c>
      <c r="H40" s="6" t="s">
        <v>53</v>
      </c>
      <c r="I40" s="6">
        <v>2584.0</v>
      </c>
      <c r="J40" s="6">
        <v>5.5</v>
      </c>
      <c r="K40" s="6" t="s">
        <v>44</v>
      </c>
      <c r="L40" s="6">
        <v>85.0</v>
      </c>
      <c r="M40" s="6"/>
      <c r="N40" s="6"/>
      <c r="O40" s="8"/>
      <c r="P40" s="8"/>
      <c r="Q40" s="8"/>
      <c r="R40" s="8"/>
      <c r="S40" s="8"/>
      <c r="T40" s="8"/>
      <c r="U40" s="8"/>
    </row>
    <row r="41" ht="14.25" customHeight="1">
      <c r="A41" s="19">
        <v>39.0</v>
      </c>
      <c r="B41" s="19" t="s">
        <v>327</v>
      </c>
      <c r="C41" s="19" t="s">
        <v>328</v>
      </c>
      <c r="D41" s="19" t="s">
        <v>329</v>
      </c>
      <c r="E41" s="19">
        <v>16000.0</v>
      </c>
      <c r="F41" s="19" t="s">
        <v>208</v>
      </c>
      <c r="G41" s="19"/>
      <c r="H41" s="19"/>
      <c r="I41" s="19"/>
      <c r="J41" s="19"/>
      <c r="K41" s="19"/>
      <c r="L41" s="19"/>
      <c r="M41" s="19"/>
      <c r="N41" s="6"/>
      <c r="O41" s="8"/>
      <c r="P41" s="8"/>
      <c r="Q41" s="8"/>
      <c r="R41" s="8"/>
      <c r="S41" s="8"/>
      <c r="T41" s="8"/>
      <c r="U41" s="8"/>
    </row>
    <row r="42" ht="14.25" customHeight="1">
      <c r="A42" s="19">
        <v>40.0</v>
      </c>
      <c r="B42" s="19" t="s">
        <v>330</v>
      </c>
      <c r="C42" s="19" t="s">
        <v>331</v>
      </c>
      <c r="D42" s="19" t="s">
        <v>222</v>
      </c>
      <c r="E42" s="19">
        <v>13000.0</v>
      </c>
      <c r="F42" s="19" t="s">
        <v>208</v>
      </c>
      <c r="G42" s="19"/>
      <c r="H42" s="19"/>
      <c r="I42" s="19"/>
      <c r="J42" s="19"/>
      <c r="K42" s="19"/>
      <c r="L42" s="19"/>
      <c r="M42" s="19"/>
      <c r="N42" s="6"/>
      <c r="O42" s="8"/>
      <c r="P42" s="8"/>
      <c r="Q42" s="8"/>
      <c r="R42" s="8"/>
      <c r="S42" s="8"/>
      <c r="T42" s="8"/>
      <c r="U42" s="8"/>
    </row>
    <row r="43" ht="14.25" customHeight="1">
      <c r="A43" s="6">
        <v>41.0</v>
      </c>
      <c r="B43" s="6" t="s">
        <v>332</v>
      </c>
      <c r="C43" s="6" t="s">
        <v>333</v>
      </c>
      <c r="D43" s="6" t="s">
        <v>334</v>
      </c>
      <c r="E43" s="6">
        <v>3000.0</v>
      </c>
      <c r="F43" s="6" t="s">
        <v>208</v>
      </c>
      <c r="G43" s="6" t="s">
        <v>202</v>
      </c>
      <c r="H43" s="6" t="s">
        <v>53</v>
      </c>
      <c r="I43" s="6">
        <v>2703.0</v>
      </c>
      <c r="J43" s="6">
        <v>5.5</v>
      </c>
      <c r="K43" s="6" t="s">
        <v>277</v>
      </c>
      <c r="L43" s="6">
        <v>84.0</v>
      </c>
      <c r="M43" s="6"/>
      <c r="N43" s="6"/>
      <c r="O43" s="8"/>
      <c r="P43" s="8"/>
      <c r="Q43" s="8"/>
      <c r="R43" s="8"/>
      <c r="S43" s="8"/>
      <c r="T43" s="8"/>
      <c r="U43" s="8"/>
    </row>
    <row r="44" ht="14.25" customHeight="1">
      <c r="A44" s="19">
        <v>42.0</v>
      </c>
      <c r="B44" s="19" t="s">
        <v>335</v>
      </c>
      <c r="C44" s="19" t="s">
        <v>336</v>
      </c>
      <c r="D44" s="19" t="s">
        <v>222</v>
      </c>
      <c r="E44" s="19">
        <v>11000.0</v>
      </c>
      <c r="F44" s="19" t="s">
        <v>208</v>
      </c>
      <c r="G44" s="19"/>
      <c r="H44" s="19"/>
      <c r="I44" s="19"/>
      <c r="J44" s="19"/>
      <c r="K44" s="19"/>
      <c r="L44" s="19"/>
      <c r="M44" s="19"/>
      <c r="N44" s="6"/>
      <c r="O44" s="8"/>
      <c r="P44" s="8"/>
      <c r="Q44" s="8"/>
      <c r="R44" s="8"/>
      <c r="S44" s="8"/>
      <c r="T44" s="8"/>
      <c r="U44" s="8"/>
    </row>
    <row r="45" ht="14.25" customHeight="1">
      <c r="A45" s="19">
        <v>43.0</v>
      </c>
      <c r="B45" s="19" t="s">
        <v>337</v>
      </c>
      <c r="C45" s="19" t="s">
        <v>338</v>
      </c>
      <c r="D45" s="19" t="s">
        <v>222</v>
      </c>
      <c r="E45" s="19">
        <v>21000.0</v>
      </c>
      <c r="F45" s="19" t="s">
        <v>208</v>
      </c>
      <c r="G45" s="19"/>
      <c r="H45" s="19"/>
      <c r="I45" s="19"/>
      <c r="J45" s="19"/>
      <c r="K45" s="19"/>
      <c r="L45" s="19"/>
      <c r="M45" s="19"/>
      <c r="N45" s="6"/>
      <c r="O45" s="8"/>
      <c r="P45" s="8"/>
      <c r="Q45" s="8"/>
      <c r="R45" s="8"/>
      <c r="S45" s="8"/>
      <c r="T45" s="8"/>
      <c r="U45" s="8"/>
    </row>
    <row r="46" ht="14.25" customHeight="1">
      <c r="A46" s="6">
        <v>44.0</v>
      </c>
      <c r="B46" s="6" t="s">
        <v>339</v>
      </c>
      <c r="C46" s="6" t="s">
        <v>340</v>
      </c>
      <c r="D46" s="6" t="s">
        <v>341</v>
      </c>
      <c r="E46" s="6">
        <v>2860.0</v>
      </c>
      <c r="F46" s="6" t="s">
        <v>208</v>
      </c>
      <c r="G46" s="6" t="s">
        <v>202</v>
      </c>
      <c r="H46" s="6" t="s">
        <v>53</v>
      </c>
      <c r="I46" s="6">
        <v>2675.0</v>
      </c>
      <c r="J46" s="6">
        <v>5.5</v>
      </c>
      <c r="K46" s="6" t="s">
        <v>44</v>
      </c>
      <c r="L46" s="6">
        <v>85.0</v>
      </c>
      <c r="M46" s="6"/>
      <c r="N46" s="6"/>
      <c r="O46" s="8"/>
      <c r="P46" s="8"/>
      <c r="Q46" s="8"/>
      <c r="R46" s="8"/>
      <c r="S46" s="8"/>
      <c r="T46" s="8"/>
      <c r="U46" s="8"/>
    </row>
    <row r="47" ht="14.25" customHeight="1">
      <c r="A47" s="6">
        <v>45.0</v>
      </c>
      <c r="B47" s="6" t="s">
        <v>342</v>
      </c>
      <c r="C47" s="6" t="s">
        <v>343</v>
      </c>
      <c r="D47" s="6" t="s">
        <v>344</v>
      </c>
      <c r="E47" s="6">
        <v>4351.0</v>
      </c>
      <c r="F47" s="6" t="s">
        <v>208</v>
      </c>
      <c r="G47" s="6" t="s">
        <v>202</v>
      </c>
      <c r="H47" s="6" t="s">
        <v>209</v>
      </c>
      <c r="I47" s="6">
        <v>2432.0</v>
      </c>
      <c r="J47" s="6">
        <v>5.5</v>
      </c>
      <c r="K47" s="6" t="s">
        <v>44</v>
      </c>
      <c r="L47" s="6">
        <v>85.0</v>
      </c>
      <c r="M47" s="6"/>
      <c r="N47" s="6"/>
      <c r="O47" s="8"/>
      <c r="P47" s="8"/>
      <c r="Q47" s="8"/>
      <c r="R47" s="8"/>
      <c r="S47" s="8"/>
      <c r="T47" s="8"/>
      <c r="U47" s="8"/>
    </row>
    <row r="48" ht="14.25" customHeight="1">
      <c r="A48" s="6">
        <v>46.0</v>
      </c>
      <c r="B48" s="6" t="s">
        <v>345</v>
      </c>
      <c r="C48" s="6" t="s">
        <v>346</v>
      </c>
      <c r="D48" s="6" t="s">
        <v>222</v>
      </c>
      <c r="E48" s="6">
        <v>2662.0</v>
      </c>
      <c r="F48" s="6" t="s">
        <v>208</v>
      </c>
      <c r="G48" s="6" t="s">
        <v>202</v>
      </c>
      <c r="H48" s="6" t="s">
        <v>53</v>
      </c>
      <c r="I48" s="6">
        <v>2638.0</v>
      </c>
      <c r="J48" s="6">
        <v>5.5</v>
      </c>
      <c r="K48" s="6" t="s">
        <v>44</v>
      </c>
      <c r="L48" s="6">
        <v>85.0</v>
      </c>
      <c r="M48" s="6"/>
      <c r="N48" s="6"/>
      <c r="O48" s="8"/>
      <c r="P48" s="8"/>
      <c r="Q48" s="8"/>
      <c r="R48" s="8"/>
      <c r="S48" s="8"/>
      <c r="T48" s="8"/>
      <c r="U48" s="8"/>
    </row>
    <row r="49" ht="14.25" customHeight="1">
      <c r="A49" s="6">
        <v>47.0</v>
      </c>
      <c r="B49" s="6" t="s">
        <v>347</v>
      </c>
      <c r="C49" s="6" t="s">
        <v>348</v>
      </c>
      <c r="D49" s="6" t="s">
        <v>349</v>
      </c>
      <c r="E49" s="6">
        <v>4410.0</v>
      </c>
      <c r="F49" s="6" t="s">
        <v>208</v>
      </c>
      <c r="G49" s="6" t="s">
        <v>202</v>
      </c>
      <c r="H49" s="6" t="s">
        <v>209</v>
      </c>
      <c r="I49" s="6">
        <v>2440.0</v>
      </c>
      <c r="J49" s="6">
        <v>7.5</v>
      </c>
      <c r="K49" s="6" t="s">
        <v>210</v>
      </c>
      <c r="L49" s="6">
        <v>87.5</v>
      </c>
      <c r="M49" s="6"/>
      <c r="N49" s="6"/>
      <c r="O49" s="8"/>
      <c r="P49" s="8"/>
      <c r="Q49" s="8"/>
      <c r="R49" s="8"/>
      <c r="S49" s="8"/>
      <c r="T49" s="8"/>
      <c r="U49" s="8"/>
    </row>
    <row r="50" ht="14.25" customHeight="1">
      <c r="A50" s="6">
        <v>48.0</v>
      </c>
      <c r="B50" s="6" t="s">
        <v>350</v>
      </c>
      <c r="C50" s="6" t="s">
        <v>351</v>
      </c>
      <c r="D50" s="6" t="s">
        <v>352</v>
      </c>
      <c r="E50" s="6">
        <v>2000.0</v>
      </c>
      <c r="F50" s="6" t="s">
        <v>353</v>
      </c>
      <c r="G50" s="6" t="s">
        <v>202</v>
      </c>
      <c r="H50" s="6" t="s">
        <v>354</v>
      </c>
      <c r="I50" s="6">
        <v>2878.0</v>
      </c>
      <c r="J50" s="6">
        <v>3.7</v>
      </c>
      <c r="K50" s="6" t="s">
        <v>355</v>
      </c>
      <c r="L50" s="6">
        <v>87.0</v>
      </c>
      <c r="M50" s="6"/>
      <c r="N50" s="6"/>
      <c r="O50" s="8"/>
      <c r="P50" s="8"/>
      <c r="Q50" s="8"/>
      <c r="R50" s="8"/>
      <c r="S50" s="8"/>
      <c r="T50" s="8"/>
      <c r="U50" s="8"/>
    </row>
    <row r="51" ht="14.25" customHeight="1">
      <c r="A51" s="6">
        <v>49.0</v>
      </c>
      <c r="B51" s="6" t="s">
        <v>356</v>
      </c>
      <c r="C51" s="6" t="s">
        <v>357</v>
      </c>
      <c r="D51" s="6" t="s">
        <v>358</v>
      </c>
      <c r="E51" s="6">
        <v>4351.0</v>
      </c>
      <c r="F51" s="6" t="s">
        <v>208</v>
      </c>
      <c r="G51" s="6" t="s">
        <v>202</v>
      </c>
      <c r="H51" s="6" t="s">
        <v>209</v>
      </c>
      <c r="I51" s="6">
        <v>2432.0</v>
      </c>
      <c r="J51" s="6">
        <v>5.5</v>
      </c>
      <c r="K51" s="6" t="s">
        <v>44</v>
      </c>
      <c r="L51" s="6">
        <v>85.0</v>
      </c>
      <c r="M51" s="6"/>
      <c r="N51" s="6"/>
      <c r="O51" s="8"/>
      <c r="P51" s="8"/>
      <c r="Q51" s="8"/>
      <c r="R51" s="8"/>
      <c r="S51" s="8"/>
      <c r="T51" s="8"/>
      <c r="U51" s="8"/>
    </row>
    <row r="52" ht="14.25" customHeight="1">
      <c r="A52" s="6">
        <v>50.0</v>
      </c>
      <c r="B52" s="6" t="s">
        <v>359</v>
      </c>
      <c r="C52" s="6" t="s">
        <v>360</v>
      </c>
      <c r="D52" s="6" t="s">
        <v>361</v>
      </c>
      <c r="E52" s="6">
        <v>4320.0</v>
      </c>
      <c r="F52" s="6" t="s">
        <v>362</v>
      </c>
      <c r="G52" s="6" t="s">
        <v>202</v>
      </c>
      <c r="H52" s="6" t="s">
        <v>363</v>
      </c>
      <c r="I52" s="6">
        <v>2890.0</v>
      </c>
      <c r="J52" s="6">
        <v>11.0</v>
      </c>
      <c r="K52" s="6" t="s">
        <v>364</v>
      </c>
      <c r="L52" s="6">
        <v>87.0</v>
      </c>
      <c r="M52" s="6"/>
      <c r="N52" s="6"/>
      <c r="O52" s="8"/>
      <c r="P52" s="8"/>
      <c r="Q52" s="8"/>
      <c r="R52" s="8"/>
      <c r="S52" s="8"/>
      <c r="T52" s="8"/>
      <c r="U52" s="8"/>
    </row>
    <row r="53" ht="14.25" customHeight="1">
      <c r="A53" s="6">
        <v>51.0</v>
      </c>
      <c r="B53" s="6" t="s">
        <v>365</v>
      </c>
      <c r="C53" s="6" t="s">
        <v>366</v>
      </c>
      <c r="D53" s="6" t="s">
        <v>367</v>
      </c>
      <c r="E53" s="6">
        <v>1200.0</v>
      </c>
      <c r="F53" s="6" t="s">
        <v>362</v>
      </c>
      <c r="G53" s="6" t="s">
        <v>202</v>
      </c>
      <c r="H53" s="6" t="s">
        <v>368</v>
      </c>
      <c r="I53" s="6">
        <v>2800.0</v>
      </c>
      <c r="J53" s="6">
        <v>3.7</v>
      </c>
      <c r="K53" s="6" t="s">
        <v>369</v>
      </c>
      <c r="L53" s="6">
        <v>85.5</v>
      </c>
      <c r="M53" s="6"/>
      <c r="N53" s="6"/>
      <c r="O53" s="8"/>
      <c r="P53" s="8"/>
      <c r="Q53" s="8"/>
      <c r="R53" s="8"/>
      <c r="S53" s="8"/>
      <c r="T53" s="8"/>
      <c r="U53" s="8"/>
    </row>
    <row r="54" ht="14.25" customHeight="1">
      <c r="A54" s="6">
        <v>52.0</v>
      </c>
      <c r="B54" s="6" t="s">
        <v>370</v>
      </c>
      <c r="C54" s="6" t="s">
        <v>371</v>
      </c>
      <c r="D54" s="6" t="s">
        <v>372</v>
      </c>
      <c r="E54" s="6">
        <v>5076.0</v>
      </c>
      <c r="F54" s="6" t="s">
        <v>353</v>
      </c>
      <c r="G54" s="6" t="s">
        <v>202</v>
      </c>
      <c r="H54" s="6" t="s">
        <v>373</v>
      </c>
      <c r="I54" s="6">
        <v>2567.0</v>
      </c>
      <c r="J54" s="6">
        <v>7.5</v>
      </c>
      <c r="K54" s="6" t="s">
        <v>374</v>
      </c>
      <c r="L54" s="6">
        <v>88.1</v>
      </c>
      <c r="M54" s="6"/>
      <c r="N54" s="6"/>
      <c r="O54" s="8"/>
      <c r="P54" s="8"/>
      <c r="Q54" s="8"/>
      <c r="R54" s="8"/>
      <c r="S54" s="8"/>
      <c r="T54" s="8"/>
      <c r="U54" s="8"/>
    </row>
    <row r="55" ht="14.25" customHeight="1">
      <c r="A55" s="6">
        <v>53.0</v>
      </c>
      <c r="B55" s="19" t="s">
        <v>375</v>
      </c>
      <c r="C55" s="6" t="s">
        <v>376</v>
      </c>
      <c r="D55" s="6" t="s">
        <v>377</v>
      </c>
      <c r="E55" s="6">
        <v>2701.0</v>
      </c>
      <c r="F55" s="6" t="s">
        <v>378</v>
      </c>
      <c r="G55" s="6" t="s">
        <v>202</v>
      </c>
      <c r="H55" s="6" t="s">
        <v>379</v>
      </c>
      <c r="I55" s="6">
        <v>2679.0</v>
      </c>
      <c r="J55" s="6">
        <v>7.5</v>
      </c>
      <c r="K55" s="6" t="s">
        <v>374</v>
      </c>
      <c r="L55" s="6">
        <v>88.1</v>
      </c>
      <c r="M55" s="6"/>
      <c r="N55" s="6"/>
      <c r="O55" s="8"/>
      <c r="P55" s="8"/>
      <c r="Q55" s="8"/>
      <c r="R55" s="8"/>
      <c r="S55" s="8"/>
      <c r="T55" s="8"/>
      <c r="U55" s="8"/>
    </row>
    <row r="56" ht="14.25" customHeight="1">
      <c r="A56" s="6">
        <v>54.0</v>
      </c>
      <c r="B56" s="6" t="s">
        <v>380</v>
      </c>
      <c r="C56" s="6" t="s">
        <v>381</v>
      </c>
      <c r="D56" s="6" t="s">
        <v>382</v>
      </c>
      <c r="E56" s="6">
        <v>11759.0</v>
      </c>
      <c r="F56" s="6" t="s">
        <v>353</v>
      </c>
      <c r="G56" s="6" t="s">
        <v>202</v>
      </c>
      <c r="H56" s="6" t="s">
        <v>383</v>
      </c>
      <c r="I56" s="6">
        <v>1381.0</v>
      </c>
      <c r="J56" s="6">
        <v>15.0</v>
      </c>
      <c r="K56" s="6" t="s">
        <v>384</v>
      </c>
      <c r="L56" s="6">
        <v>90.6</v>
      </c>
      <c r="M56" s="6"/>
      <c r="N56" s="6"/>
      <c r="O56" s="8"/>
      <c r="P56" s="8"/>
      <c r="Q56" s="8"/>
      <c r="R56" s="8"/>
      <c r="S56" s="8"/>
      <c r="T56" s="8"/>
      <c r="U56" s="8"/>
    </row>
    <row r="57" ht="14.25" customHeight="1">
      <c r="A57" s="6">
        <v>55.0</v>
      </c>
      <c r="B57" s="19" t="s">
        <v>385</v>
      </c>
      <c r="C57" s="6" t="s">
        <v>386</v>
      </c>
      <c r="D57" s="6" t="s">
        <v>387</v>
      </c>
      <c r="E57" s="6">
        <v>4600.0</v>
      </c>
      <c r="F57" s="6" t="s">
        <v>378</v>
      </c>
      <c r="G57" s="6" t="s">
        <v>202</v>
      </c>
      <c r="H57" s="6" t="s">
        <v>122</v>
      </c>
      <c r="I57" s="6"/>
      <c r="J57" s="6">
        <v>5.5</v>
      </c>
      <c r="K57" s="6" t="s">
        <v>118</v>
      </c>
      <c r="L57" s="6">
        <v>87.6</v>
      </c>
      <c r="M57" s="6"/>
      <c r="N57" s="6"/>
      <c r="O57" s="8"/>
      <c r="P57" s="8"/>
      <c r="Q57" s="8"/>
      <c r="R57" s="8"/>
      <c r="S57" s="8"/>
      <c r="T57" s="8"/>
      <c r="U57" s="8"/>
    </row>
    <row r="58" ht="14.25" customHeight="1">
      <c r="A58" s="6">
        <v>56.0</v>
      </c>
      <c r="B58" s="6" t="s">
        <v>388</v>
      </c>
      <c r="C58" s="6" t="s">
        <v>389</v>
      </c>
      <c r="D58" s="6" t="s">
        <v>390</v>
      </c>
      <c r="E58" s="6">
        <v>4800.0</v>
      </c>
      <c r="F58" s="6" t="s">
        <v>391</v>
      </c>
      <c r="G58" s="6" t="s">
        <v>202</v>
      </c>
      <c r="H58" s="6" t="s">
        <v>392</v>
      </c>
      <c r="I58" s="6">
        <v>2738.0</v>
      </c>
      <c r="J58" s="6">
        <v>5.5</v>
      </c>
      <c r="K58" s="6" t="s">
        <v>277</v>
      </c>
      <c r="L58" s="6">
        <v>89.2</v>
      </c>
      <c r="M58" s="6"/>
      <c r="N58" s="6"/>
      <c r="O58" s="8"/>
      <c r="P58" s="8"/>
      <c r="Q58" s="8"/>
      <c r="R58" s="8"/>
      <c r="S58" s="8"/>
      <c r="T58" s="8"/>
      <c r="U58" s="8"/>
    </row>
    <row r="59" ht="14.25" customHeight="1">
      <c r="A59" s="6">
        <v>57.0</v>
      </c>
      <c r="B59" s="6" t="s">
        <v>393</v>
      </c>
      <c r="C59" s="6" t="s">
        <v>394</v>
      </c>
      <c r="D59" s="6" t="s">
        <v>395</v>
      </c>
      <c r="E59" s="6">
        <v>2200.0</v>
      </c>
      <c r="F59" s="6" t="s">
        <v>396</v>
      </c>
      <c r="G59" s="6" t="s">
        <v>202</v>
      </c>
      <c r="H59" s="6" t="s">
        <v>226</v>
      </c>
      <c r="I59" s="6">
        <v>2998.0</v>
      </c>
      <c r="J59" s="6">
        <v>5.5</v>
      </c>
      <c r="K59" s="6" t="s">
        <v>397</v>
      </c>
      <c r="L59" s="6">
        <v>85.0</v>
      </c>
      <c r="M59" s="6"/>
      <c r="N59" s="6"/>
      <c r="O59" s="8"/>
      <c r="P59" s="8"/>
      <c r="Q59" s="8"/>
      <c r="R59" s="8"/>
      <c r="S59" s="8"/>
      <c r="T59" s="8"/>
      <c r="U59" s="8"/>
    </row>
    <row r="60" ht="14.25" customHeight="1">
      <c r="A60" s="6">
        <v>58.0</v>
      </c>
      <c r="B60" s="6" t="s">
        <v>398</v>
      </c>
      <c r="C60" s="6" t="s">
        <v>399</v>
      </c>
      <c r="D60" s="6" t="s">
        <v>400</v>
      </c>
      <c r="E60" s="6">
        <v>7600.0</v>
      </c>
      <c r="F60" s="6" t="s">
        <v>362</v>
      </c>
      <c r="G60" s="6" t="s">
        <v>202</v>
      </c>
      <c r="H60" s="6" t="s">
        <v>401</v>
      </c>
      <c r="I60" s="6" t="s">
        <v>402</v>
      </c>
      <c r="J60" s="6">
        <v>7.5</v>
      </c>
      <c r="K60" s="6" t="s">
        <v>403</v>
      </c>
      <c r="L60" s="6">
        <v>89.8</v>
      </c>
      <c r="M60" s="6"/>
      <c r="N60" s="6"/>
      <c r="O60" s="8"/>
      <c r="P60" s="8"/>
      <c r="Q60" s="8"/>
      <c r="R60" s="8"/>
      <c r="S60" s="8"/>
      <c r="T60" s="8"/>
      <c r="U60" s="8"/>
    </row>
    <row r="61" ht="14.25" customHeight="1">
      <c r="A61" s="6">
        <v>59.0</v>
      </c>
      <c r="B61" s="6" t="s">
        <v>404</v>
      </c>
      <c r="C61" s="6" t="s">
        <v>405</v>
      </c>
      <c r="D61" s="6" t="s">
        <v>406</v>
      </c>
      <c r="E61" s="6">
        <v>6000.0</v>
      </c>
      <c r="F61" s="6" t="s">
        <v>362</v>
      </c>
      <c r="G61" s="6" t="s">
        <v>202</v>
      </c>
      <c r="H61" s="6" t="s">
        <v>407</v>
      </c>
      <c r="I61" s="6" t="s">
        <v>402</v>
      </c>
      <c r="J61" s="6">
        <v>5.5</v>
      </c>
      <c r="K61" s="6" t="s">
        <v>408</v>
      </c>
      <c r="L61" s="6">
        <v>88.6</v>
      </c>
      <c r="M61" s="6"/>
      <c r="N61" s="6"/>
      <c r="O61" s="8"/>
      <c r="P61" s="8"/>
      <c r="Q61" s="8"/>
      <c r="R61" s="8"/>
      <c r="S61" s="8"/>
      <c r="T61" s="8"/>
      <c r="U61" s="8"/>
    </row>
    <row r="62" ht="14.25" customHeight="1">
      <c r="A62" s="6">
        <v>60.0</v>
      </c>
      <c r="B62" s="6" t="s">
        <v>409</v>
      </c>
      <c r="C62" s="6" t="s">
        <v>410</v>
      </c>
      <c r="D62" s="6" t="s">
        <v>411</v>
      </c>
      <c r="E62" s="6">
        <v>5100.0</v>
      </c>
      <c r="F62" s="6" t="s">
        <v>362</v>
      </c>
      <c r="G62" s="6" t="s">
        <v>202</v>
      </c>
      <c r="H62" s="6" t="s">
        <v>412</v>
      </c>
      <c r="I62" s="6" t="s">
        <v>402</v>
      </c>
      <c r="J62" s="6">
        <v>5.5</v>
      </c>
      <c r="K62" s="6" t="s">
        <v>118</v>
      </c>
      <c r="L62" s="6">
        <v>87.6</v>
      </c>
      <c r="M62" s="6"/>
      <c r="N62" s="6"/>
      <c r="O62" s="8"/>
      <c r="P62" s="8"/>
      <c r="Q62" s="8"/>
      <c r="R62" s="8"/>
      <c r="S62" s="8"/>
      <c r="T62" s="8"/>
      <c r="U62" s="8"/>
    </row>
    <row r="63" ht="14.25" customHeight="1">
      <c r="A63" s="6">
        <v>61.0</v>
      </c>
      <c r="B63" s="6" t="s">
        <v>413</v>
      </c>
      <c r="C63" s="6" t="s">
        <v>414</v>
      </c>
      <c r="D63" s="6" t="s">
        <v>415</v>
      </c>
      <c r="E63" s="6">
        <v>4000.0</v>
      </c>
      <c r="F63" s="6" t="s">
        <v>416</v>
      </c>
      <c r="G63" s="6"/>
      <c r="H63" s="6"/>
      <c r="I63" s="6"/>
      <c r="J63" s="6">
        <v>5.5</v>
      </c>
      <c r="K63" s="6" t="s">
        <v>277</v>
      </c>
      <c r="L63" s="6">
        <v>89.2</v>
      </c>
      <c r="M63" s="6"/>
      <c r="N63" s="6"/>
      <c r="O63" s="8"/>
      <c r="P63" s="8"/>
      <c r="Q63" s="8"/>
      <c r="R63" s="8"/>
      <c r="S63" s="8"/>
      <c r="T63" s="8"/>
      <c r="U63" s="8"/>
    </row>
    <row r="64" ht="14.25" customHeight="1">
      <c r="A64" s="24" t="s">
        <v>417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3"/>
      <c r="N64" s="6"/>
      <c r="O64" s="8"/>
      <c r="P64" s="8"/>
      <c r="Q64" s="8"/>
      <c r="R64" s="8"/>
      <c r="S64" s="8"/>
      <c r="T64" s="8"/>
      <c r="U64" s="8"/>
    </row>
    <row r="65" ht="14.25" customHeight="1">
      <c r="A65" s="2" t="s">
        <v>1</v>
      </c>
      <c r="B65" s="2" t="s">
        <v>2</v>
      </c>
      <c r="C65" s="2" t="s">
        <v>3</v>
      </c>
      <c r="D65" s="2" t="s">
        <v>4</v>
      </c>
      <c r="E65" s="2" t="s">
        <v>5</v>
      </c>
      <c r="F65" s="3" t="s">
        <v>6</v>
      </c>
      <c r="G65" s="2" t="s">
        <v>7</v>
      </c>
      <c r="H65" s="2" t="s">
        <v>8</v>
      </c>
      <c r="I65" s="2" t="s">
        <v>9</v>
      </c>
      <c r="J65" s="2" t="s">
        <v>11</v>
      </c>
      <c r="K65" s="2" t="s">
        <v>10</v>
      </c>
      <c r="L65" s="2" t="s">
        <v>12</v>
      </c>
      <c r="M65" s="2" t="s">
        <v>13</v>
      </c>
      <c r="N65" s="6"/>
      <c r="O65" s="8"/>
      <c r="P65" s="8"/>
      <c r="Q65" s="8"/>
      <c r="R65" s="8"/>
      <c r="S65" s="8"/>
      <c r="T65" s="8"/>
      <c r="U65" s="8"/>
    </row>
    <row r="66" ht="14.25" customHeight="1">
      <c r="A66" s="6">
        <v>1.0</v>
      </c>
      <c r="B66" s="6" t="s">
        <v>418</v>
      </c>
      <c r="C66" s="6" t="s">
        <v>419</v>
      </c>
      <c r="D66" s="6" t="s">
        <v>420</v>
      </c>
      <c r="E66" s="6"/>
      <c r="F66" s="6"/>
      <c r="G66" s="6"/>
      <c r="H66" s="6"/>
      <c r="I66" s="6"/>
      <c r="J66" s="6">
        <v>1.5</v>
      </c>
      <c r="K66" s="6" t="s">
        <v>421</v>
      </c>
      <c r="L66" s="6">
        <v>85.8</v>
      </c>
      <c r="M66" s="6"/>
      <c r="N66" s="6"/>
      <c r="O66" s="8"/>
      <c r="P66" s="8"/>
      <c r="Q66" s="8"/>
      <c r="R66" s="8"/>
      <c r="S66" s="8"/>
      <c r="T66" s="8"/>
      <c r="U66" s="8"/>
    </row>
    <row r="67" ht="14.25" customHeight="1">
      <c r="A67" s="6">
        <v>2.0</v>
      </c>
      <c r="B67" s="6" t="s">
        <v>422</v>
      </c>
      <c r="C67" s="6" t="s">
        <v>423</v>
      </c>
      <c r="D67" s="6" t="s">
        <v>424</v>
      </c>
      <c r="E67" s="6">
        <v>2740.0</v>
      </c>
      <c r="F67" s="6" t="s">
        <v>425</v>
      </c>
      <c r="G67" s="6" t="s">
        <v>426</v>
      </c>
      <c r="H67" s="6" t="s">
        <v>427</v>
      </c>
      <c r="I67" s="6">
        <v>2826.0</v>
      </c>
      <c r="J67" s="6">
        <v>2.2</v>
      </c>
      <c r="K67" s="6" t="s">
        <v>428</v>
      </c>
      <c r="L67" s="6">
        <v>83.2</v>
      </c>
      <c r="M67" s="6"/>
      <c r="N67" s="6"/>
      <c r="O67" s="8"/>
      <c r="P67" s="8"/>
      <c r="Q67" s="8"/>
      <c r="R67" s="8"/>
      <c r="S67" s="8"/>
      <c r="T67" s="8"/>
      <c r="U67" s="8"/>
    </row>
    <row r="68" ht="14.25" customHeight="1">
      <c r="A68" s="6">
        <v>3.0</v>
      </c>
      <c r="B68" s="6" t="s">
        <v>429</v>
      </c>
      <c r="C68" s="6" t="s">
        <v>430</v>
      </c>
      <c r="D68" s="6" t="s">
        <v>431</v>
      </c>
      <c r="E68" s="6">
        <v>792.0</v>
      </c>
      <c r="F68" s="6" t="s">
        <v>362</v>
      </c>
      <c r="G68" s="6" t="s">
        <v>426</v>
      </c>
      <c r="H68" s="6" t="s">
        <v>432</v>
      </c>
      <c r="I68" s="6">
        <v>2966.0</v>
      </c>
      <c r="J68" s="6">
        <v>2.2</v>
      </c>
      <c r="K68" s="6" t="s">
        <v>428</v>
      </c>
      <c r="L68" s="6">
        <v>83.2</v>
      </c>
      <c r="M68" s="6"/>
      <c r="N68" s="6"/>
      <c r="O68" s="8"/>
      <c r="P68" s="8"/>
      <c r="Q68" s="8"/>
      <c r="R68" s="8"/>
      <c r="S68" s="8"/>
      <c r="T68" s="8"/>
      <c r="U68" s="8"/>
    </row>
    <row r="69" ht="14.25" customHeight="1">
      <c r="A69" s="19">
        <v>4.0</v>
      </c>
      <c r="B69" s="19" t="s">
        <v>433</v>
      </c>
      <c r="C69" s="19" t="s">
        <v>434</v>
      </c>
      <c r="D69" s="19" t="s">
        <v>435</v>
      </c>
      <c r="E69" s="19">
        <v>20601.0</v>
      </c>
      <c r="F69" s="19" t="s">
        <v>362</v>
      </c>
      <c r="G69" s="19"/>
      <c r="H69" s="19"/>
      <c r="I69" s="19"/>
      <c r="J69" s="19"/>
      <c r="K69" s="19"/>
      <c r="L69" s="19"/>
      <c r="M69" s="19"/>
      <c r="N69" s="6"/>
      <c r="O69" s="8"/>
      <c r="P69" s="8"/>
      <c r="Q69" s="8"/>
      <c r="R69" s="8"/>
      <c r="S69" s="8"/>
      <c r="T69" s="8"/>
      <c r="U69" s="8"/>
    </row>
    <row r="70" ht="14.25" customHeight="1">
      <c r="A70" s="6">
        <v>5.0</v>
      </c>
      <c r="B70" s="6" t="s">
        <v>436</v>
      </c>
      <c r="C70" s="6" t="s">
        <v>437</v>
      </c>
      <c r="D70" s="6" t="s">
        <v>435</v>
      </c>
      <c r="E70" s="18">
        <v>20601.0</v>
      </c>
      <c r="F70" s="18" t="s">
        <v>362</v>
      </c>
      <c r="G70" s="18" t="s">
        <v>426</v>
      </c>
      <c r="H70" s="18" t="s">
        <v>438</v>
      </c>
      <c r="I70" s="18">
        <v>1335.0</v>
      </c>
      <c r="J70" s="6">
        <v>22.0</v>
      </c>
      <c r="K70" s="6" t="s">
        <v>439</v>
      </c>
      <c r="L70" s="6">
        <v>91.6</v>
      </c>
      <c r="M70" s="6"/>
      <c r="N70" s="6"/>
      <c r="O70" s="8"/>
      <c r="P70" s="8"/>
      <c r="Q70" s="8"/>
      <c r="R70" s="8"/>
      <c r="S70" s="8"/>
      <c r="T70" s="8"/>
      <c r="U70" s="8"/>
    </row>
    <row r="71" ht="14.25" customHeight="1">
      <c r="A71" s="19">
        <v>6.0</v>
      </c>
      <c r="B71" s="19" t="s">
        <v>440</v>
      </c>
      <c r="C71" s="19" t="s">
        <v>441</v>
      </c>
      <c r="D71" s="19" t="s">
        <v>435</v>
      </c>
      <c r="E71" s="19">
        <v>20601.0</v>
      </c>
      <c r="F71" s="19" t="s">
        <v>362</v>
      </c>
      <c r="G71" s="19"/>
      <c r="H71" s="19"/>
      <c r="I71" s="19"/>
      <c r="J71" s="19"/>
      <c r="K71" s="19"/>
      <c r="L71" s="19"/>
      <c r="M71" s="19"/>
      <c r="N71" s="6"/>
      <c r="O71" s="8"/>
      <c r="P71" s="8"/>
      <c r="Q71" s="8"/>
      <c r="R71" s="8"/>
      <c r="S71" s="8"/>
      <c r="T71" s="8"/>
      <c r="U71" s="8"/>
    </row>
    <row r="72" ht="14.25" customHeight="1">
      <c r="A72" s="19">
        <v>7.0</v>
      </c>
      <c r="B72" s="19" t="s">
        <v>442</v>
      </c>
      <c r="C72" s="19" t="s">
        <v>443</v>
      </c>
      <c r="D72" s="19" t="s">
        <v>444</v>
      </c>
      <c r="E72" s="19">
        <v>22500.0</v>
      </c>
      <c r="F72" s="19" t="s">
        <v>362</v>
      </c>
      <c r="G72" s="19"/>
      <c r="H72" s="19"/>
      <c r="I72" s="19"/>
      <c r="J72" s="19"/>
      <c r="K72" s="19"/>
      <c r="L72" s="19"/>
      <c r="M72" s="19"/>
      <c r="N72" s="6"/>
      <c r="O72" s="8"/>
      <c r="P72" s="8"/>
      <c r="Q72" s="8"/>
      <c r="R72" s="8"/>
      <c r="S72" s="8"/>
      <c r="T72" s="8"/>
      <c r="U72" s="8"/>
    </row>
    <row r="73" ht="14.25" customHeight="1">
      <c r="A73" s="19">
        <v>8.0</v>
      </c>
      <c r="B73" s="19" t="s">
        <v>445</v>
      </c>
      <c r="C73" s="19" t="s">
        <v>446</v>
      </c>
      <c r="D73" s="19" t="s">
        <v>447</v>
      </c>
      <c r="E73" s="19">
        <v>11404.0</v>
      </c>
      <c r="F73" s="19" t="s">
        <v>362</v>
      </c>
      <c r="G73" s="19"/>
      <c r="H73" s="19"/>
      <c r="I73" s="19"/>
      <c r="J73" s="19"/>
      <c r="K73" s="19"/>
      <c r="L73" s="19"/>
      <c r="M73" s="19"/>
      <c r="N73" s="6"/>
      <c r="O73" s="8"/>
      <c r="P73" s="8"/>
      <c r="Q73" s="8"/>
      <c r="R73" s="8"/>
      <c r="S73" s="8"/>
      <c r="T73" s="8"/>
      <c r="U73" s="8"/>
    </row>
    <row r="74" ht="14.25" customHeight="1">
      <c r="A74" s="6">
        <v>9.0</v>
      </c>
      <c r="B74" s="6" t="s">
        <v>448</v>
      </c>
      <c r="C74" s="6" t="s">
        <v>449</v>
      </c>
      <c r="D74" s="6" t="s">
        <v>450</v>
      </c>
      <c r="E74" s="25">
        <v>1108.0</v>
      </c>
      <c r="F74" s="18" t="s">
        <v>362</v>
      </c>
      <c r="G74" s="8" t="s">
        <v>451</v>
      </c>
      <c r="H74" s="6" t="s">
        <v>452</v>
      </c>
      <c r="I74" s="6">
        <v>2890.0</v>
      </c>
      <c r="J74" s="6">
        <v>2.2</v>
      </c>
      <c r="K74" s="6" t="s">
        <v>428</v>
      </c>
      <c r="L74" s="6">
        <v>83.2</v>
      </c>
      <c r="M74" s="6"/>
      <c r="N74" s="6"/>
      <c r="O74" s="8"/>
      <c r="P74" s="8"/>
      <c r="Q74" s="8"/>
      <c r="R74" s="8"/>
      <c r="S74" s="8"/>
      <c r="T74" s="8"/>
      <c r="U74" s="8"/>
    </row>
    <row r="75" ht="14.25" customHeight="1">
      <c r="A75" s="6">
        <v>10.0</v>
      </c>
      <c r="B75" s="6" t="s">
        <v>453</v>
      </c>
      <c r="C75" s="6" t="s">
        <v>454</v>
      </c>
      <c r="D75" s="6" t="s">
        <v>455</v>
      </c>
      <c r="E75" s="6">
        <v>675.0</v>
      </c>
      <c r="F75" s="18" t="s">
        <v>362</v>
      </c>
      <c r="G75" s="8" t="s">
        <v>451</v>
      </c>
      <c r="H75" s="7" t="s">
        <v>427</v>
      </c>
      <c r="I75" s="6">
        <v>2966.0</v>
      </c>
      <c r="J75" s="6">
        <v>2.2</v>
      </c>
      <c r="K75" s="6" t="s">
        <v>428</v>
      </c>
      <c r="L75" s="6">
        <v>83.2</v>
      </c>
      <c r="M75" s="6"/>
      <c r="N75" s="6"/>
      <c r="O75" s="8"/>
      <c r="P75" s="8"/>
      <c r="Q75" s="8"/>
      <c r="R75" s="8"/>
      <c r="S75" s="8"/>
      <c r="T75" s="8"/>
      <c r="U75" s="8"/>
    </row>
    <row r="76" ht="14.25" customHeight="1">
      <c r="A76" s="6">
        <v>12.0</v>
      </c>
      <c r="B76" s="6" t="s">
        <v>456</v>
      </c>
      <c r="C76" s="6" t="s">
        <v>457</v>
      </c>
      <c r="D76" s="6" t="s">
        <v>458</v>
      </c>
      <c r="E76" s="6">
        <v>2014.0</v>
      </c>
      <c r="F76" s="18" t="s">
        <v>362</v>
      </c>
      <c r="G76" s="8" t="s">
        <v>451</v>
      </c>
      <c r="H76" s="7" t="s">
        <v>74</v>
      </c>
      <c r="I76" s="6">
        <v>2673.0</v>
      </c>
      <c r="J76" s="6">
        <v>3.7</v>
      </c>
      <c r="K76" s="6" t="s">
        <v>355</v>
      </c>
      <c r="L76" s="6">
        <v>85.5</v>
      </c>
      <c r="M76" s="6"/>
      <c r="N76" s="6"/>
      <c r="O76" s="8"/>
      <c r="P76" s="8"/>
      <c r="Q76" s="8"/>
      <c r="R76" s="8"/>
      <c r="S76" s="8"/>
      <c r="T76" s="8"/>
      <c r="U76" s="8"/>
    </row>
    <row r="77" ht="14.25" customHeight="1">
      <c r="A77" s="6">
        <v>13.0</v>
      </c>
      <c r="B77" s="6" t="s">
        <v>459</v>
      </c>
      <c r="C77" s="6" t="s">
        <v>460</v>
      </c>
      <c r="D77" s="6" t="s">
        <v>461</v>
      </c>
      <c r="E77" s="25">
        <v>2061.0</v>
      </c>
      <c r="F77" s="18" t="s">
        <v>362</v>
      </c>
      <c r="G77" s="8" t="s">
        <v>451</v>
      </c>
      <c r="H77" s="6" t="s">
        <v>462</v>
      </c>
      <c r="I77" s="6">
        <v>2890.0</v>
      </c>
      <c r="J77" s="6">
        <v>5.5</v>
      </c>
      <c r="K77" s="6" t="s">
        <v>463</v>
      </c>
      <c r="L77" s="6">
        <v>84.3</v>
      </c>
      <c r="M77" s="6"/>
      <c r="N77" s="6"/>
      <c r="O77" s="8"/>
      <c r="P77" s="8"/>
      <c r="Q77" s="8"/>
      <c r="R77" s="8"/>
      <c r="S77" s="8"/>
      <c r="T77" s="8"/>
      <c r="U77" s="8"/>
    </row>
    <row r="78" ht="14.25" customHeight="1">
      <c r="A78" s="6">
        <v>14.0</v>
      </c>
      <c r="B78" s="6" t="s">
        <v>464</v>
      </c>
      <c r="C78" s="6" t="s">
        <v>465</v>
      </c>
      <c r="D78" s="6" t="s">
        <v>466</v>
      </c>
      <c r="E78" s="6">
        <v>2061.0</v>
      </c>
      <c r="F78" s="18" t="s">
        <v>362</v>
      </c>
      <c r="G78" s="26" t="s">
        <v>451</v>
      </c>
      <c r="H78" s="27" t="s">
        <v>427</v>
      </c>
      <c r="I78" s="6">
        <v>2596.0</v>
      </c>
      <c r="J78" s="6">
        <v>2.2</v>
      </c>
      <c r="K78" s="6" t="s">
        <v>428</v>
      </c>
      <c r="L78" s="6">
        <v>83.2</v>
      </c>
      <c r="M78" s="6"/>
      <c r="N78" s="6"/>
      <c r="O78" s="8"/>
      <c r="P78" s="8"/>
      <c r="Q78" s="8"/>
      <c r="R78" s="8"/>
      <c r="S78" s="8"/>
      <c r="T78" s="8"/>
      <c r="U78" s="8"/>
    </row>
    <row r="79" ht="14.25" customHeight="1">
      <c r="A79" s="6">
        <v>15.0</v>
      </c>
      <c r="B79" s="6" t="s">
        <v>467</v>
      </c>
      <c r="C79" s="6" t="s">
        <v>468</v>
      </c>
      <c r="D79" s="6" t="s">
        <v>469</v>
      </c>
      <c r="E79" s="6">
        <v>1872.0</v>
      </c>
      <c r="F79" s="18" t="s">
        <v>362</v>
      </c>
      <c r="G79" s="26" t="s">
        <v>451</v>
      </c>
      <c r="H79" s="27" t="s">
        <v>427</v>
      </c>
      <c r="I79" s="6">
        <v>2555.0</v>
      </c>
      <c r="J79" s="6">
        <v>2.2</v>
      </c>
      <c r="K79" s="6" t="s">
        <v>428</v>
      </c>
      <c r="L79" s="6">
        <v>83.2</v>
      </c>
      <c r="M79" s="6"/>
      <c r="N79" s="6"/>
      <c r="O79" s="8"/>
      <c r="P79" s="8"/>
      <c r="Q79" s="8"/>
      <c r="R79" s="8"/>
      <c r="S79" s="8"/>
      <c r="T79" s="8"/>
      <c r="U79" s="8"/>
    </row>
    <row r="80" ht="14.25" customHeight="1">
      <c r="A80" s="6">
        <v>16.0</v>
      </c>
      <c r="B80" s="6" t="s">
        <v>470</v>
      </c>
      <c r="C80" s="6" t="s">
        <v>471</v>
      </c>
      <c r="D80" s="6" t="s">
        <v>472</v>
      </c>
      <c r="E80" s="6">
        <v>1600.0</v>
      </c>
      <c r="F80" s="6" t="s">
        <v>201</v>
      </c>
      <c r="G80" s="6" t="s">
        <v>202</v>
      </c>
      <c r="H80" s="25" t="s">
        <v>473</v>
      </c>
      <c r="I80" s="6" t="s">
        <v>402</v>
      </c>
      <c r="J80" s="6">
        <v>2.2</v>
      </c>
      <c r="K80" s="6" t="s">
        <v>474</v>
      </c>
      <c r="L80" s="6">
        <v>83.9</v>
      </c>
      <c r="M80" s="6"/>
      <c r="N80" s="6"/>
      <c r="O80" s="8"/>
      <c r="P80" s="8"/>
      <c r="Q80" s="8"/>
      <c r="R80" s="8"/>
      <c r="S80" s="8"/>
      <c r="T80" s="8"/>
      <c r="U80" s="8"/>
    </row>
    <row r="81" ht="14.25" customHeight="1">
      <c r="A81" s="6">
        <v>17.0</v>
      </c>
      <c r="B81" s="6" t="s">
        <v>475</v>
      </c>
      <c r="C81" s="6" t="s">
        <v>476</v>
      </c>
      <c r="D81" s="6" t="s">
        <v>477</v>
      </c>
      <c r="E81" s="6">
        <v>20000.0</v>
      </c>
      <c r="F81" s="18" t="s">
        <v>478</v>
      </c>
      <c r="G81" s="26" t="s">
        <v>451</v>
      </c>
      <c r="H81" s="6" t="s">
        <v>479</v>
      </c>
      <c r="I81" s="6" t="s">
        <v>402</v>
      </c>
      <c r="J81" s="6">
        <v>15.0</v>
      </c>
      <c r="K81" s="6" t="s">
        <v>480</v>
      </c>
      <c r="L81" s="6">
        <v>90.6</v>
      </c>
      <c r="M81" s="6"/>
      <c r="N81" s="6"/>
      <c r="O81" s="8"/>
      <c r="P81" s="8"/>
      <c r="Q81" s="8"/>
      <c r="R81" s="8"/>
      <c r="S81" s="8"/>
      <c r="T81" s="8"/>
      <c r="U81" s="8"/>
    </row>
    <row r="82" ht="14.25" customHeight="1">
      <c r="A82" s="6">
        <v>18.0</v>
      </c>
      <c r="B82" s="6" t="s">
        <v>481</v>
      </c>
      <c r="C82" s="6" t="s">
        <v>371</v>
      </c>
      <c r="D82" s="6" t="s">
        <v>482</v>
      </c>
      <c r="E82" s="6">
        <v>20000.0</v>
      </c>
      <c r="F82" s="18" t="s">
        <v>478</v>
      </c>
      <c r="G82" s="26" t="s">
        <v>451</v>
      </c>
      <c r="H82" s="6" t="s">
        <v>479</v>
      </c>
      <c r="I82" s="6" t="s">
        <v>402</v>
      </c>
      <c r="J82" s="6">
        <v>15.0</v>
      </c>
      <c r="K82" s="6" t="s">
        <v>480</v>
      </c>
      <c r="L82" s="6">
        <v>90.6</v>
      </c>
      <c r="M82" s="6"/>
      <c r="N82" s="6"/>
      <c r="O82" s="8"/>
      <c r="P82" s="8"/>
      <c r="Q82" s="8"/>
      <c r="R82" s="8"/>
      <c r="S82" s="8"/>
      <c r="T82" s="8"/>
      <c r="U82" s="8"/>
    </row>
    <row r="83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</row>
    <row r="85" ht="14.25" customHeight="1">
      <c r="A85" s="25"/>
      <c r="B85" s="25"/>
      <c r="C85" s="19"/>
      <c r="D85" s="28" t="s">
        <v>483</v>
      </c>
      <c r="E85" s="25"/>
      <c r="F85" s="25"/>
      <c r="G85" s="25"/>
      <c r="H85" s="25"/>
      <c r="I85" s="25"/>
      <c r="J85" s="25"/>
      <c r="K85" s="25"/>
      <c r="L85" s="25"/>
      <c r="M85" s="25"/>
    </row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M1"/>
    <mergeCell ref="J26:L26"/>
    <mergeCell ref="A64:M6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Dhavalsinh Dayma</dc:creator>
</cp:coreProperties>
</file>