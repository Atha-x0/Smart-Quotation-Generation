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Schott Glass Jambusar\"/>
    </mc:Choice>
  </mc:AlternateContent>
  <xr:revisionPtr revIDLastSave="0" documentId="13_ncr:1_{DDFDC4ED-6845-408B-B321-17393E192A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ott (2)" sheetId="3" r:id="rId1"/>
    <sheet name="Schott" sheetId="2" r:id="rId2"/>
  </sheets>
  <definedNames>
    <definedName name="_xlnm.Print_Area" localSheetId="1">Schott!$A$1:$E$47</definedName>
    <definedName name="_xlnm.Print_Area" localSheetId="0">'Schott (2)'!$A$1:$E$49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50GUzK4kqmLXtY1bdTyv1I4bYIvcMGDfUwvNqraxu2o="/>
    </ext>
  </extLst>
</workbook>
</file>

<file path=xl/calcChain.xml><?xml version="1.0" encoding="utf-8"?>
<calcChain xmlns="http://schemas.openxmlformats.org/spreadsheetml/2006/main">
  <c r="E32" i="3" l="1"/>
  <c r="E15" i="3"/>
  <c r="E16" i="3" s="1"/>
  <c r="E29" i="2"/>
  <c r="E33" i="3" l="1"/>
  <c r="E15" i="2"/>
  <c r="E16" i="2" l="1"/>
  <c r="E30" i="2" s="1"/>
</calcChain>
</file>

<file path=xl/sharedStrings.xml><?xml version="1.0" encoding="utf-8"?>
<sst xmlns="http://schemas.openxmlformats.org/spreadsheetml/2006/main" count="108" uniqueCount="66">
  <si>
    <t xml:space="preserve">           </t>
  </si>
  <si>
    <r>
      <rPr>
        <b/>
        <sz val="16"/>
        <color theme="1"/>
        <rFont val="Tahoma"/>
        <family val="2"/>
      </rPr>
      <t xml:space="preserve">SEE-Tech Solutions Pvt. Ltd.                                                                                                                      </t>
    </r>
    <r>
      <rPr>
        <b/>
        <sz val="11"/>
        <color theme="1"/>
        <rFont val="Tahoma"/>
        <family val="2"/>
      </rPr>
      <t>11/5, MIDC Infotech Park, South Ambazari Road, Nagpur-440022</t>
    </r>
  </si>
  <si>
    <t>QUOTATION</t>
  </si>
  <si>
    <t>Date:</t>
  </si>
  <si>
    <t>Quotation No.:</t>
  </si>
  <si>
    <t>To,</t>
  </si>
  <si>
    <t xml:space="preserve"> </t>
  </si>
  <si>
    <t>Kind Attn.</t>
  </si>
  <si>
    <t>Ref.</t>
  </si>
  <si>
    <t>Dear Sir,</t>
  </si>
  <si>
    <t>SEE-Tech's offer is as follows:</t>
  </si>
  <si>
    <t xml:space="preserve">Sr. </t>
  </si>
  <si>
    <t>Particular</t>
  </si>
  <si>
    <t>Rate</t>
  </si>
  <si>
    <t>Qty</t>
  </si>
  <si>
    <t>Amount</t>
  </si>
  <si>
    <t>Amount, Rs.</t>
  </si>
  <si>
    <t>Sr.</t>
  </si>
  <si>
    <t>Scope of Work</t>
  </si>
  <si>
    <t>Technical Specifications</t>
  </si>
  <si>
    <t>Other Terms &amp; Conditions:</t>
  </si>
  <si>
    <t>Payment Terms:</t>
  </si>
  <si>
    <t>1. 50% advance payment along with Purchase order</t>
  </si>
  <si>
    <t>2. 40% payment before material dispatch</t>
  </si>
  <si>
    <t>3. 10% payment after Installation and Commissioning of blower</t>
  </si>
  <si>
    <t>9. Cable if required for installation of VFD panel and motor will be provided by client</t>
  </si>
  <si>
    <t>10. Quotation is valid for 30 days from the date of submission</t>
  </si>
  <si>
    <t xml:space="preserve">8. Warranty: 1 Year from date of Invoice  </t>
  </si>
  <si>
    <t>1. GST shall be charge extra @18%</t>
  </si>
  <si>
    <t>2. Freight Charges: Extra as actual</t>
  </si>
  <si>
    <t>3. Fabricated stand/ structure support require for blower installation will be provided by SEE-Tech</t>
  </si>
  <si>
    <t>As per your enquiry</t>
  </si>
  <si>
    <t>SEE/2024-25/GJ/188</t>
  </si>
  <si>
    <t>Mr. Pankaj (Mobile: 97730 18273)</t>
  </si>
  <si>
    <t>We thank you for your enquiry of Super Efficient Direct Driven fan for AHU</t>
  </si>
  <si>
    <t>Supply of Super Efficient Direct Driven fan with IE5 efficiency class motor</t>
  </si>
  <si>
    <t>Installation and mounting of Super Efficient Direct Driven fan with support, stand and fitting</t>
  </si>
  <si>
    <t>Dismentling of existing blower</t>
  </si>
  <si>
    <r>
      <t xml:space="preserve">Super Efficient Direct Driven Blower for AHU: </t>
    </r>
    <r>
      <rPr>
        <sz val="11"/>
        <color theme="1"/>
        <rFont val="Calibri"/>
        <family val="2"/>
      </rPr>
      <t>Make: Kruger, MXC 1000-D</t>
    </r>
  </si>
  <si>
    <r>
      <t xml:space="preserve">IE5 Class Motor: </t>
    </r>
    <r>
      <rPr>
        <sz val="11"/>
        <color theme="1"/>
        <rFont val="Calibri"/>
        <family val="2"/>
      </rPr>
      <t>Make: BBL/Rotomotive/Equivalent: 18.5 kW, 1500 RPM, Efficiency: 95.3%</t>
    </r>
  </si>
  <si>
    <t>Energy Saving Calculation</t>
  </si>
  <si>
    <r>
      <t xml:space="preserve">Baseline Energy Consumption of AHU, Rs/year: </t>
    </r>
    <r>
      <rPr>
        <sz val="11"/>
        <color theme="1"/>
        <rFont val="Calibri"/>
        <family val="2"/>
      </rPr>
      <t>17.21 kW X 24 Hrs/Day X 365 Days/Year X 8.5 Rs./Unit</t>
    </r>
  </si>
  <si>
    <t>Annual Energy Saving (35%), Rs/year:</t>
  </si>
  <si>
    <t>Payback Period, Months</t>
  </si>
  <si>
    <t>4. Farana/ crane is not in our scope (for lifting &amp; shifting)</t>
  </si>
  <si>
    <t>6. Delivery: 60 to 90 days  from the receipt of PO and advance</t>
  </si>
  <si>
    <t>7. Installation: Immediately starts as after material delivery at site</t>
  </si>
  <si>
    <t>5. We will use exiting VFD for new fan &amp; tunning of new motor with existing VFD is in customer scope</t>
  </si>
  <si>
    <t>Super Efficient Direct Driven Fan for AHU, MXC 1000-D, (24000 CFM, 100 MMWG), IE5 Efficiency Class Motor (18.5 kW, 1500 RPM)</t>
  </si>
  <si>
    <t>Jambusar</t>
  </si>
  <si>
    <t>Schott Glass</t>
  </si>
  <si>
    <t>SEE/2025-26/GJ/01</t>
  </si>
  <si>
    <t>Supply of Super Efficient Direct Driven fan, IE5 efficiency class motor &amp; VFD Panel</t>
  </si>
  <si>
    <t>Commissioning of blower with VFD</t>
  </si>
  <si>
    <r>
      <t xml:space="preserve">VFD: </t>
    </r>
    <r>
      <rPr>
        <sz val="11"/>
        <color theme="1"/>
        <rFont val="Calibri"/>
        <family val="2"/>
      </rPr>
      <t>Make: Fuji Electric, 18.5 kW</t>
    </r>
  </si>
  <si>
    <r>
      <t xml:space="preserve">Baseline Energy Consumption of AHU, Rs/year: </t>
    </r>
    <r>
      <rPr>
        <sz val="11"/>
        <color theme="1"/>
        <rFont val="Calibri"/>
        <family val="2"/>
      </rPr>
      <t>18.92 kW X 24 Hrs/Day X 365 Days/Year X 8.5 Rs./Unit</t>
    </r>
  </si>
  <si>
    <t>Annual Energy Saving (20%), Rs/year:</t>
  </si>
  <si>
    <t>5. Delivery: 60 to 90 days  from the receipt of PO and advance</t>
  </si>
  <si>
    <t>6. Installation: Immediately starts as after material delivery at site</t>
  </si>
  <si>
    <t xml:space="preserve">7. Warranty: 1 Year from date of Invoice  </t>
  </si>
  <si>
    <t>8. Cable if required for installation of VFD panel and motor will be provided by client</t>
  </si>
  <si>
    <t>9. Quotation is valid for 30 days from the date of submission</t>
  </si>
  <si>
    <t>Installation of Super Efficient Direct Driven fan with support, stand and fitting</t>
  </si>
  <si>
    <r>
      <t xml:space="preserve">Electrical Panel: </t>
    </r>
    <r>
      <rPr>
        <sz val="11"/>
        <color theme="1"/>
        <rFont val="Calibri"/>
        <family val="2"/>
      </rPr>
      <t>Make: SEE-Tech</t>
    </r>
  </si>
  <si>
    <t>Super Efficient Direct Driven Fan: MXC 1000-D, (17,500 CFM, 125 MMWG), IE5 Efficiency Class Motor (18.5 kW, 1500 RPM) with VFD &amp; VFD Panel</t>
  </si>
  <si>
    <t>As per your new enquiry dated 03/04/2025 for replacing existing plug fan (17500 cfm, 125 mmwg) in clean room packing 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</si>
</sst>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.0_ ;_ * \-#,##0.0_ ;_ * &quot;-&quot;??_ ;_ @_ "/>
    <numFmt numFmtId="166" formatCode="_ * #,##0_ ;_ * \-#,##0_ ;_ * &quot;-&quot;??_ ;_ @_ 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6"/>
      <color theme="1"/>
      <name val="Tahoma"/>
      <family val="2"/>
    </font>
    <font>
      <sz val="11"/>
      <name val="Calibri"/>
      <family val="2"/>
    </font>
    <font>
      <b/>
      <sz val="22"/>
      <color theme="1"/>
      <name val="Tahoma"/>
      <family val="2"/>
    </font>
    <font>
      <b/>
      <sz val="8"/>
      <color theme="1"/>
      <name val="Garamond"/>
      <family val="1"/>
    </font>
    <font>
      <sz val="11"/>
      <color theme="1"/>
      <name val="Calibri"/>
      <family val="2"/>
    </font>
    <font>
      <b/>
      <sz val="11"/>
      <color theme="1"/>
      <name val="Garamond"/>
      <family val="1"/>
    </font>
    <font>
      <b/>
      <sz val="11"/>
      <color theme="1"/>
      <name val="Calibri"/>
      <family val="2"/>
    </font>
    <font>
      <b/>
      <sz val="11"/>
      <color theme="1"/>
      <name val="Tahoma"/>
      <family val="2"/>
    </font>
    <font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66" fontId="13" fillId="0" borderId="1" xfId="1" applyNumberFormat="1" applyFont="1" applyBorder="1"/>
    <xf numFmtId="165" fontId="13" fillId="0" borderId="1" xfId="0" applyNumberFormat="1" applyFont="1" applyBorder="1"/>
    <xf numFmtId="166" fontId="13" fillId="0" borderId="1" xfId="0" applyNumberFormat="1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47625</xdr:rowOff>
    </xdr:from>
    <xdr:to>
      <xdr:col>0</xdr:col>
      <xdr:colOff>1194258</xdr:colOff>
      <xdr:row>1</xdr:row>
      <xdr:rowOff>483204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E623E7-EACC-48DA-8462-76264BB00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200" t="26667" r="24666" b="11734"/>
        <a:stretch/>
      </xdr:blipFill>
      <xdr:spPr>
        <a:xfrm>
          <a:off x="38100" y="47625"/>
          <a:ext cx="1156158" cy="1299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47625</xdr:rowOff>
    </xdr:from>
    <xdr:to>
      <xdr:col>0</xdr:col>
      <xdr:colOff>1194258</xdr:colOff>
      <xdr:row>1</xdr:row>
      <xdr:rowOff>483204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F0E9C-53C7-47F1-BF34-3432602F47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200" t="26667" r="24666" b="11734"/>
        <a:stretch/>
      </xdr:blipFill>
      <xdr:spPr>
        <a:xfrm>
          <a:off x="38100" y="47625"/>
          <a:ext cx="1156158" cy="1299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3D66-EF6D-459F-9030-083B9AF193DB}">
  <sheetPr>
    <pageSetUpPr fitToPage="1"/>
  </sheetPr>
  <dimension ref="A1:Z1003"/>
  <sheetViews>
    <sheetView tabSelected="1" view="pageBreakPreview" topLeftCell="A7" zoomScaleNormal="100" zoomScaleSheetLayoutView="100" workbookViewId="0">
      <selection activeCell="A10" sqref="A10:E10"/>
    </sheetView>
  </sheetViews>
  <sheetFormatPr defaultColWidth="14.453125" defaultRowHeight="15" customHeight="1" x14ac:dyDescent="0.35"/>
  <cols>
    <col min="1" max="1" width="18.7265625" style="3" customWidth="1"/>
    <col min="2" max="2" width="80.90625" style="3" customWidth="1"/>
    <col min="3" max="3" width="11.81640625" style="3" customWidth="1"/>
    <col min="4" max="4" width="10.453125" style="3" customWidth="1"/>
    <col min="5" max="5" width="11.90625" style="3" customWidth="1"/>
    <col min="6" max="6" width="9.1796875" style="3" customWidth="1"/>
    <col min="7" max="7" width="10.26953125" style="3" customWidth="1"/>
    <col min="8" max="9" width="9.1796875" style="3" customWidth="1"/>
    <col min="10" max="10" width="4.54296875" style="3" customWidth="1"/>
    <col min="11" max="26" width="9.1796875" style="3" customWidth="1"/>
    <col min="27" max="16384" width="14.453125" style="3"/>
  </cols>
  <sheetData>
    <row r="1" spans="1:26" ht="68.25" customHeight="1" x14ac:dyDescent="0.35">
      <c r="A1" s="39" t="s">
        <v>0</v>
      </c>
      <c r="B1" s="40" t="s">
        <v>1</v>
      </c>
      <c r="C1" s="27"/>
      <c r="D1" s="27"/>
      <c r="E1" s="27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" customHeight="1" x14ac:dyDescent="0.35">
      <c r="A2" s="27"/>
      <c r="B2" s="41" t="s">
        <v>2</v>
      </c>
      <c r="C2" s="27"/>
      <c r="D2" s="27"/>
      <c r="E2" s="27"/>
      <c r="F2" s="1"/>
      <c r="G2" s="1"/>
      <c r="H2" s="1"/>
      <c r="I2" s="4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35">
      <c r="A3" s="5" t="s">
        <v>3</v>
      </c>
      <c r="B3" s="42">
        <v>45750</v>
      </c>
      <c r="C3" s="27"/>
      <c r="D3" s="27"/>
      <c r="E3" s="27"/>
      <c r="F3" s="6"/>
      <c r="G3" s="2"/>
      <c r="H3" s="2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8" customHeight="1" x14ac:dyDescent="0.35">
      <c r="A4" s="5" t="s">
        <v>4</v>
      </c>
      <c r="B4" s="38" t="s">
        <v>51</v>
      </c>
      <c r="C4" s="27"/>
      <c r="D4" s="27"/>
      <c r="E4" s="27"/>
      <c r="F4" s="6"/>
      <c r="G4" s="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.75" customHeight="1" x14ac:dyDescent="0.35">
      <c r="A5" s="9" t="s">
        <v>5</v>
      </c>
      <c r="B5" s="43" t="s">
        <v>50</v>
      </c>
      <c r="C5" s="27"/>
      <c r="D5" s="27"/>
      <c r="E5" s="27"/>
      <c r="F5" s="10"/>
      <c r="G5" s="11"/>
      <c r="H5" s="11"/>
      <c r="I5" s="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 x14ac:dyDescent="0.35">
      <c r="A6" s="5" t="s">
        <v>6</v>
      </c>
      <c r="B6" s="36" t="s">
        <v>49</v>
      </c>
      <c r="C6" s="37"/>
      <c r="D6" s="37"/>
      <c r="E6" s="37"/>
      <c r="F6" s="6"/>
      <c r="G6" s="2"/>
      <c r="H6" s="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.75" customHeight="1" x14ac:dyDescent="0.35">
      <c r="A7" s="5" t="s">
        <v>7</v>
      </c>
      <c r="B7" s="38" t="s">
        <v>33</v>
      </c>
      <c r="C7" s="27"/>
      <c r="D7" s="27"/>
      <c r="E7" s="27"/>
      <c r="F7" s="6"/>
      <c r="G7" s="2"/>
      <c r="H7" s="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" customHeight="1" x14ac:dyDescent="0.35">
      <c r="A8" s="35"/>
      <c r="B8" s="27"/>
      <c r="C8" s="27"/>
      <c r="D8" s="27"/>
      <c r="E8" s="27"/>
      <c r="F8" s="6"/>
      <c r="G8" s="7"/>
      <c r="H8" s="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8" customHeight="1" x14ac:dyDescent="0.35">
      <c r="A9" s="5" t="s">
        <v>8</v>
      </c>
      <c r="B9" s="38" t="s">
        <v>65</v>
      </c>
      <c r="C9" s="27"/>
      <c r="D9" s="27"/>
      <c r="E9" s="27"/>
      <c r="F9" s="6"/>
      <c r="G9" s="7"/>
      <c r="H9" s="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35">
      <c r="A10" s="26"/>
      <c r="B10" s="27"/>
      <c r="C10" s="27"/>
      <c r="D10" s="27"/>
      <c r="E10" s="27"/>
      <c r="F10" s="6"/>
      <c r="G10" s="7"/>
      <c r="H10" s="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0.25" customHeight="1" x14ac:dyDescent="0.35">
      <c r="A11" s="35" t="s">
        <v>9</v>
      </c>
      <c r="B11" s="27"/>
      <c r="C11" s="27"/>
      <c r="D11" s="27"/>
      <c r="E11" s="27"/>
      <c r="F11" s="6"/>
      <c r="G11" s="7"/>
      <c r="H11" s="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0.25" customHeight="1" x14ac:dyDescent="0.35">
      <c r="A12" s="35" t="s">
        <v>34</v>
      </c>
      <c r="B12" s="27"/>
      <c r="C12" s="27"/>
      <c r="D12" s="27"/>
      <c r="E12" s="27"/>
      <c r="F12" s="6"/>
      <c r="G12" s="14"/>
      <c r="H12" s="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0.25" customHeight="1" x14ac:dyDescent="0.35">
      <c r="A13" s="35" t="s">
        <v>10</v>
      </c>
      <c r="B13" s="27"/>
      <c r="C13" s="27"/>
      <c r="D13" s="27"/>
      <c r="E13" s="27"/>
      <c r="F13" s="6"/>
      <c r="G13" s="14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0.25" customHeight="1" x14ac:dyDescent="0.35">
      <c r="A14" s="15" t="s">
        <v>11</v>
      </c>
      <c r="B14" s="9" t="s">
        <v>12</v>
      </c>
      <c r="C14" s="15" t="s">
        <v>13</v>
      </c>
      <c r="D14" s="15" t="s">
        <v>14</v>
      </c>
      <c r="E14" s="15" t="s">
        <v>15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0" customHeight="1" x14ac:dyDescent="0.35">
      <c r="A15" s="13">
        <v>1</v>
      </c>
      <c r="B15" s="16" t="s">
        <v>64</v>
      </c>
      <c r="C15" s="21">
        <v>519242</v>
      </c>
      <c r="D15" s="17">
        <v>1</v>
      </c>
      <c r="E15" s="17">
        <f t="shared" ref="E15" si="0">C15*D15</f>
        <v>519242</v>
      </c>
      <c r="F15" s="8"/>
      <c r="G15" s="1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0.25" customHeight="1" x14ac:dyDescent="0.35">
      <c r="A16" s="13"/>
      <c r="B16" s="9" t="s">
        <v>16</v>
      </c>
      <c r="C16" s="13"/>
      <c r="D16" s="13"/>
      <c r="E16" s="19">
        <f>SUM(E15:E15)</f>
        <v>519242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0.25" customHeight="1" x14ac:dyDescent="0.35">
      <c r="A17" s="25"/>
      <c r="B17" s="27"/>
      <c r="C17" s="27"/>
      <c r="D17" s="27"/>
      <c r="E17" s="27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0.25" customHeight="1" x14ac:dyDescent="0.35">
      <c r="A18" s="15" t="s">
        <v>17</v>
      </c>
      <c r="B18" s="31" t="s">
        <v>18</v>
      </c>
      <c r="C18" s="27"/>
      <c r="D18" s="27"/>
      <c r="E18" s="2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5" x14ac:dyDescent="0.35">
      <c r="A19" s="13">
        <v>1</v>
      </c>
      <c r="B19" s="28" t="s">
        <v>52</v>
      </c>
      <c r="C19" s="27"/>
      <c r="D19" s="27"/>
      <c r="E19" s="2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5" x14ac:dyDescent="0.35">
      <c r="A20" s="13">
        <v>2</v>
      </c>
      <c r="B20" s="28" t="s">
        <v>37</v>
      </c>
      <c r="C20" s="27"/>
      <c r="D20" s="27"/>
      <c r="E20" s="2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5" x14ac:dyDescent="0.35">
      <c r="A21" s="13">
        <v>3</v>
      </c>
      <c r="B21" s="28" t="s">
        <v>62</v>
      </c>
      <c r="C21" s="27"/>
      <c r="D21" s="27"/>
      <c r="E21" s="2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5" x14ac:dyDescent="0.35">
      <c r="A22" s="13">
        <v>4</v>
      </c>
      <c r="B22" s="28" t="s">
        <v>53</v>
      </c>
      <c r="C22" s="27"/>
      <c r="D22" s="27"/>
      <c r="E22" s="2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8" customHeight="1" x14ac:dyDescent="0.35">
      <c r="A23" s="26"/>
      <c r="B23" s="27"/>
      <c r="C23" s="27"/>
      <c r="D23" s="27"/>
      <c r="E23" s="2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0.25" customHeight="1" x14ac:dyDescent="0.35">
      <c r="A24" s="15" t="s">
        <v>17</v>
      </c>
      <c r="B24" s="31" t="s">
        <v>19</v>
      </c>
      <c r="C24" s="27"/>
      <c r="D24" s="27"/>
      <c r="E24" s="2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5" x14ac:dyDescent="0.35">
      <c r="A25" s="13">
        <v>1</v>
      </c>
      <c r="B25" s="29" t="s">
        <v>38</v>
      </c>
      <c r="C25" s="27"/>
      <c r="D25" s="27"/>
      <c r="E25" s="2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5" x14ac:dyDescent="0.35">
      <c r="A26" s="13">
        <v>2</v>
      </c>
      <c r="B26" s="29" t="s">
        <v>39</v>
      </c>
      <c r="C26" s="27"/>
      <c r="D26" s="27"/>
      <c r="E26" s="2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5" x14ac:dyDescent="0.35">
      <c r="A27" s="13">
        <v>3</v>
      </c>
      <c r="B27" s="29" t="s">
        <v>54</v>
      </c>
      <c r="C27" s="27"/>
      <c r="D27" s="27"/>
      <c r="E27" s="2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5" x14ac:dyDescent="0.35">
      <c r="A28" s="13">
        <v>4</v>
      </c>
      <c r="B28" s="29" t="s">
        <v>63</v>
      </c>
      <c r="C28" s="27"/>
      <c r="D28" s="27"/>
      <c r="E28" s="2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8" customHeight="1" x14ac:dyDescent="0.35">
      <c r="A29" s="26"/>
      <c r="B29" s="27"/>
      <c r="C29" s="27"/>
      <c r="D29" s="27"/>
      <c r="E29" s="2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5" x14ac:dyDescent="0.35">
      <c r="A30" s="15" t="s">
        <v>17</v>
      </c>
      <c r="B30" s="29" t="s">
        <v>40</v>
      </c>
      <c r="C30" s="27"/>
      <c r="D30" s="27"/>
      <c r="E30" s="2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5" x14ac:dyDescent="0.35">
      <c r="A31" s="13">
        <v>1</v>
      </c>
      <c r="B31" s="32" t="s">
        <v>55</v>
      </c>
      <c r="C31" s="33"/>
      <c r="D31" s="34"/>
      <c r="E31" s="22">
        <v>1408783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5" x14ac:dyDescent="0.35">
      <c r="A32" s="13">
        <v>2</v>
      </c>
      <c r="B32" s="32" t="s">
        <v>56</v>
      </c>
      <c r="C32" s="33"/>
      <c r="D32" s="34"/>
      <c r="E32" s="22">
        <f>E31*20%</f>
        <v>281756.60000000003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5" x14ac:dyDescent="0.35">
      <c r="A33" s="13">
        <v>3</v>
      </c>
      <c r="B33" s="32" t="s">
        <v>43</v>
      </c>
      <c r="C33" s="33"/>
      <c r="D33" s="34"/>
      <c r="E33" s="24">
        <f>E16/E32*12</f>
        <v>22.114491727966616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8" customHeight="1" x14ac:dyDescent="0.35">
      <c r="A34" s="26"/>
      <c r="B34" s="27"/>
      <c r="C34" s="27"/>
      <c r="D34" s="27"/>
      <c r="E34" s="2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0.25" customHeight="1" x14ac:dyDescent="0.35">
      <c r="A35" s="31" t="s">
        <v>20</v>
      </c>
      <c r="B35" s="27"/>
      <c r="C35" s="27"/>
      <c r="D35" s="27"/>
      <c r="E35" s="2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0.25" customHeight="1" x14ac:dyDescent="0.35">
      <c r="A36" s="25" t="s">
        <v>28</v>
      </c>
      <c r="B36" s="27"/>
      <c r="C36" s="27"/>
      <c r="D36" s="27"/>
      <c r="E36" s="2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0.25" customHeight="1" x14ac:dyDescent="0.35">
      <c r="A37" s="25" t="s">
        <v>29</v>
      </c>
      <c r="B37" s="27"/>
      <c r="C37" s="27"/>
      <c r="D37" s="27"/>
      <c r="E37" s="2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0.25" customHeight="1" x14ac:dyDescent="0.35">
      <c r="A38" s="25" t="s">
        <v>30</v>
      </c>
      <c r="B38" s="27"/>
      <c r="C38" s="27"/>
      <c r="D38" s="27"/>
      <c r="E38" s="27"/>
      <c r="F38" s="25"/>
      <c r="G38" s="27"/>
      <c r="H38" s="27"/>
      <c r="I38" s="27"/>
      <c r="J38" s="27"/>
      <c r="K38" s="25"/>
      <c r="L38" s="27"/>
      <c r="M38" s="27"/>
      <c r="N38" s="27"/>
      <c r="O38" s="27"/>
      <c r="P38" s="25"/>
      <c r="Q38" s="27"/>
      <c r="R38" s="27"/>
      <c r="S38" s="27"/>
      <c r="T38" s="27"/>
      <c r="U38" s="25"/>
      <c r="V38" s="27"/>
      <c r="W38" s="27"/>
      <c r="X38" s="27"/>
      <c r="Y38" s="27"/>
      <c r="Z38" s="8"/>
    </row>
    <row r="39" spans="1:26" ht="20.25" customHeight="1" x14ac:dyDescent="0.35">
      <c r="A39" s="25" t="s">
        <v>44</v>
      </c>
      <c r="B39" s="27"/>
      <c r="C39" s="27"/>
      <c r="D39" s="27"/>
      <c r="E39" s="27"/>
      <c r="F39" s="25"/>
      <c r="G39" s="27"/>
      <c r="H39" s="27"/>
      <c r="I39" s="27"/>
      <c r="J39" s="27"/>
      <c r="K39" s="25"/>
      <c r="L39" s="27"/>
      <c r="M39" s="27"/>
      <c r="N39" s="27"/>
      <c r="O39" s="27"/>
      <c r="P39" s="25"/>
      <c r="Q39" s="27"/>
      <c r="R39" s="27"/>
      <c r="S39" s="27"/>
      <c r="T39" s="27"/>
      <c r="U39" s="25"/>
      <c r="V39" s="27"/>
      <c r="W39" s="27"/>
      <c r="X39" s="27"/>
      <c r="Y39" s="27"/>
      <c r="Z39" s="8"/>
    </row>
    <row r="40" spans="1:26" ht="20.25" customHeight="1" x14ac:dyDescent="0.35">
      <c r="A40" s="25" t="s">
        <v>57</v>
      </c>
      <c r="B40" s="27"/>
      <c r="C40" s="27"/>
      <c r="D40" s="27"/>
      <c r="E40" s="27"/>
      <c r="F40" s="25"/>
      <c r="G40" s="27"/>
      <c r="H40" s="27"/>
      <c r="I40" s="27"/>
      <c r="J40" s="27"/>
      <c r="K40" s="25"/>
      <c r="L40" s="27"/>
      <c r="M40" s="27"/>
      <c r="N40" s="27"/>
      <c r="O40" s="27"/>
      <c r="P40" s="25"/>
      <c r="Q40" s="27"/>
      <c r="R40" s="27"/>
      <c r="S40" s="27"/>
      <c r="T40" s="27"/>
      <c r="U40" s="25"/>
      <c r="V40" s="27"/>
      <c r="W40" s="27"/>
      <c r="X40" s="27"/>
      <c r="Y40" s="27"/>
      <c r="Z40" s="8"/>
    </row>
    <row r="41" spans="1:26" ht="20.25" customHeight="1" x14ac:dyDescent="0.35">
      <c r="A41" s="25" t="s">
        <v>58</v>
      </c>
      <c r="B41" s="27"/>
      <c r="C41" s="27"/>
      <c r="D41" s="27"/>
      <c r="E41" s="27"/>
      <c r="F41" s="8"/>
      <c r="G41" s="8"/>
      <c r="H41" s="8"/>
      <c r="I41" s="8"/>
      <c r="J41" s="8"/>
      <c r="K41" s="8"/>
      <c r="L41" s="2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0.25" customHeight="1" x14ac:dyDescent="0.35">
      <c r="A42" s="25" t="s">
        <v>59</v>
      </c>
      <c r="B42" s="27"/>
      <c r="C42" s="27"/>
      <c r="D42" s="27"/>
      <c r="E42" s="2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0.25" customHeight="1" x14ac:dyDescent="0.35">
      <c r="A43" s="25" t="s">
        <v>60</v>
      </c>
      <c r="B43" s="25"/>
      <c r="C43" s="25"/>
      <c r="D43" s="25"/>
      <c r="E43" s="25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0.25" customHeight="1" x14ac:dyDescent="0.35">
      <c r="A44" s="25" t="s">
        <v>61</v>
      </c>
      <c r="B44" s="25"/>
      <c r="C44" s="25"/>
      <c r="D44" s="25"/>
      <c r="E44" s="25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0.25" customHeight="1" x14ac:dyDescent="0.35">
      <c r="A45" s="30"/>
      <c r="B45" s="27"/>
      <c r="C45" s="27"/>
      <c r="D45" s="27"/>
      <c r="E45" s="2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0.25" customHeight="1" x14ac:dyDescent="0.35">
      <c r="A46" s="31" t="s">
        <v>21</v>
      </c>
      <c r="B46" s="27"/>
      <c r="C46" s="27"/>
      <c r="D46" s="27"/>
      <c r="E46" s="2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0.25" customHeight="1" x14ac:dyDescent="0.35">
      <c r="A47" s="25" t="s">
        <v>22</v>
      </c>
      <c r="B47" s="25"/>
      <c r="C47" s="25"/>
      <c r="D47" s="25"/>
      <c r="E47" s="25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0.25" customHeight="1" x14ac:dyDescent="0.35">
      <c r="A48" s="25" t="s">
        <v>23</v>
      </c>
      <c r="B48" s="25"/>
      <c r="C48" s="25"/>
      <c r="D48" s="25"/>
      <c r="E48" s="25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0.25" customHeight="1" x14ac:dyDescent="0.35">
      <c r="A49" s="25" t="s">
        <v>24</v>
      </c>
      <c r="B49" s="25"/>
      <c r="C49" s="25"/>
      <c r="D49" s="25"/>
      <c r="E49" s="25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0.25" customHeight="1" x14ac:dyDescent="0.35">
      <c r="A50" s="26"/>
      <c r="B50" s="27"/>
      <c r="C50" s="27"/>
      <c r="D50" s="27"/>
      <c r="E50" s="2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25" customHeight="1" x14ac:dyDescent="0.3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4.25" customHeight="1" x14ac:dyDescent="0.3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4.25" customHeight="1" x14ac:dyDescent="0.3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60">
    <mergeCell ref="B5:E5"/>
    <mergeCell ref="A1:A2"/>
    <mergeCell ref="B1:E1"/>
    <mergeCell ref="B2:E2"/>
    <mergeCell ref="B3:E3"/>
    <mergeCell ref="B4:E4"/>
    <mergeCell ref="B20:E20"/>
    <mergeCell ref="B6:E6"/>
    <mergeCell ref="B7:E7"/>
    <mergeCell ref="A8:E8"/>
    <mergeCell ref="B9:E9"/>
    <mergeCell ref="A10:E10"/>
    <mergeCell ref="A11:E11"/>
    <mergeCell ref="A12:E12"/>
    <mergeCell ref="A13:E13"/>
    <mergeCell ref="A17:E17"/>
    <mergeCell ref="B18:E18"/>
    <mergeCell ref="B19:E19"/>
    <mergeCell ref="A35:E35"/>
    <mergeCell ref="B21:E21"/>
    <mergeCell ref="A23:E23"/>
    <mergeCell ref="B24:E24"/>
    <mergeCell ref="B25:E25"/>
    <mergeCell ref="B26:E26"/>
    <mergeCell ref="A29:E29"/>
    <mergeCell ref="B30:E30"/>
    <mergeCell ref="B31:D31"/>
    <mergeCell ref="B32:D32"/>
    <mergeCell ref="B33:D33"/>
    <mergeCell ref="A34:E34"/>
    <mergeCell ref="A37:E37"/>
    <mergeCell ref="A38:E38"/>
    <mergeCell ref="F38:J38"/>
    <mergeCell ref="K38:O38"/>
    <mergeCell ref="P38:T38"/>
    <mergeCell ref="F40:J40"/>
    <mergeCell ref="K40:O40"/>
    <mergeCell ref="P40:T40"/>
    <mergeCell ref="U40:Y40"/>
    <mergeCell ref="U38:Y38"/>
    <mergeCell ref="F39:J39"/>
    <mergeCell ref="K39:O39"/>
    <mergeCell ref="P39:T39"/>
    <mergeCell ref="U39:Y39"/>
    <mergeCell ref="A47:E47"/>
    <mergeCell ref="A48:E48"/>
    <mergeCell ref="A49:E49"/>
    <mergeCell ref="A50:E50"/>
    <mergeCell ref="B22:E22"/>
    <mergeCell ref="B27:E27"/>
    <mergeCell ref="B28:E28"/>
    <mergeCell ref="A41:E41"/>
    <mergeCell ref="A42:E42"/>
    <mergeCell ref="A43:E43"/>
    <mergeCell ref="A44:E44"/>
    <mergeCell ref="A45:E45"/>
    <mergeCell ref="A46:E46"/>
    <mergeCell ref="A40:E40"/>
    <mergeCell ref="A39:E39"/>
    <mergeCell ref="A36:E36"/>
  </mergeCells>
  <pageMargins left="0.70866141732283472" right="0.70866141732283472" top="0.74803149606299213" bottom="0.74803149606299213" header="0.31496062992125984" footer="0.31496062992125984"/>
  <pageSetup paperSize="9" scale="6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0938-151E-4C1A-B3D7-C99406A41CB4}">
  <sheetPr>
    <pageSetUpPr fitToPage="1"/>
  </sheetPr>
  <dimension ref="A1:Z1001"/>
  <sheetViews>
    <sheetView view="pageBreakPreview" zoomScaleNormal="100" zoomScaleSheetLayoutView="100" workbookViewId="0">
      <selection activeCell="B7" sqref="B7:E7"/>
    </sheetView>
  </sheetViews>
  <sheetFormatPr defaultColWidth="14.453125" defaultRowHeight="15" customHeight="1" x14ac:dyDescent="0.35"/>
  <cols>
    <col min="1" max="1" width="18.7265625" style="3" customWidth="1"/>
    <col min="2" max="2" width="80.90625" style="3" customWidth="1"/>
    <col min="3" max="3" width="11.81640625" style="3" customWidth="1"/>
    <col min="4" max="4" width="10.453125" style="3" customWidth="1"/>
    <col min="5" max="5" width="11.90625" style="3" customWidth="1"/>
    <col min="6" max="6" width="9.1796875" style="3" customWidth="1"/>
    <col min="7" max="7" width="10.26953125" style="3" customWidth="1"/>
    <col min="8" max="9" width="9.1796875" style="3" customWidth="1"/>
    <col min="10" max="10" width="4.54296875" style="3" customWidth="1"/>
    <col min="11" max="26" width="9.1796875" style="3" customWidth="1"/>
    <col min="27" max="16384" width="14.453125" style="3"/>
  </cols>
  <sheetData>
    <row r="1" spans="1:26" ht="68.25" customHeight="1" x14ac:dyDescent="0.35">
      <c r="A1" s="39" t="s">
        <v>0</v>
      </c>
      <c r="B1" s="40" t="s">
        <v>1</v>
      </c>
      <c r="C1" s="27"/>
      <c r="D1" s="27"/>
      <c r="E1" s="27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" customHeight="1" x14ac:dyDescent="0.35">
      <c r="A2" s="27"/>
      <c r="B2" s="41" t="s">
        <v>2</v>
      </c>
      <c r="C2" s="27"/>
      <c r="D2" s="27"/>
      <c r="E2" s="27"/>
      <c r="F2" s="1"/>
      <c r="G2" s="1"/>
      <c r="H2" s="1"/>
      <c r="I2" s="4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35">
      <c r="A3" s="5" t="s">
        <v>3</v>
      </c>
      <c r="B3" s="42">
        <v>45747</v>
      </c>
      <c r="C3" s="27"/>
      <c r="D3" s="27"/>
      <c r="E3" s="27"/>
      <c r="F3" s="6"/>
      <c r="G3" s="2"/>
      <c r="H3" s="2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8" customHeight="1" x14ac:dyDescent="0.35">
      <c r="A4" s="5" t="s">
        <v>4</v>
      </c>
      <c r="B4" s="38" t="s">
        <v>32</v>
      </c>
      <c r="C4" s="27"/>
      <c r="D4" s="27"/>
      <c r="E4" s="27"/>
      <c r="F4" s="6"/>
      <c r="G4" s="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.75" customHeight="1" x14ac:dyDescent="0.35">
      <c r="A5" s="9" t="s">
        <v>5</v>
      </c>
      <c r="B5" s="43" t="s">
        <v>50</v>
      </c>
      <c r="C5" s="27"/>
      <c r="D5" s="27"/>
      <c r="E5" s="27"/>
      <c r="F5" s="10"/>
      <c r="G5" s="11"/>
      <c r="H5" s="11"/>
      <c r="I5" s="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 x14ac:dyDescent="0.35">
      <c r="A6" s="5" t="s">
        <v>6</v>
      </c>
      <c r="B6" s="36" t="s">
        <v>49</v>
      </c>
      <c r="C6" s="37"/>
      <c r="D6" s="37"/>
      <c r="E6" s="37"/>
      <c r="F6" s="6"/>
      <c r="G6" s="2"/>
      <c r="H6" s="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.75" customHeight="1" x14ac:dyDescent="0.35">
      <c r="A7" s="5" t="s">
        <v>7</v>
      </c>
      <c r="B7" s="38" t="s">
        <v>33</v>
      </c>
      <c r="C7" s="27"/>
      <c r="D7" s="27"/>
      <c r="E7" s="27"/>
      <c r="F7" s="6"/>
      <c r="G7" s="2"/>
      <c r="H7" s="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" customHeight="1" x14ac:dyDescent="0.35">
      <c r="A8" s="35"/>
      <c r="B8" s="27"/>
      <c r="C8" s="27"/>
      <c r="D8" s="27"/>
      <c r="E8" s="27"/>
      <c r="F8" s="6"/>
      <c r="G8" s="7"/>
      <c r="H8" s="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8" customHeight="1" x14ac:dyDescent="0.35">
      <c r="A9" s="5" t="s">
        <v>8</v>
      </c>
      <c r="B9" s="38" t="s">
        <v>31</v>
      </c>
      <c r="C9" s="27"/>
      <c r="D9" s="27"/>
      <c r="E9" s="27"/>
      <c r="F9" s="6"/>
      <c r="G9" s="7"/>
      <c r="H9" s="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35">
      <c r="A10" s="26"/>
      <c r="B10" s="27"/>
      <c r="C10" s="27"/>
      <c r="D10" s="27"/>
      <c r="E10" s="27"/>
      <c r="F10" s="6"/>
      <c r="G10" s="7"/>
      <c r="H10" s="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0.25" customHeight="1" x14ac:dyDescent="0.35">
      <c r="A11" s="35" t="s">
        <v>9</v>
      </c>
      <c r="B11" s="27"/>
      <c r="C11" s="27"/>
      <c r="D11" s="27"/>
      <c r="E11" s="27"/>
      <c r="F11" s="6"/>
      <c r="G11" s="7"/>
      <c r="H11" s="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0.25" customHeight="1" x14ac:dyDescent="0.35">
      <c r="A12" s="35" t="s">
        <v>34</v>
      </c>
      <c r="B12" s="27"/>
      <c r="C12" s="27"/>
      <c r="D12" s="27"/>
      <c r="E12" s="27"/>
      <c r="F12" s="6"/>
      <c r="G12" s="14"/>
      <c r="H12" s="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0.25" customHeight="1" x14ac:dyDescent="0.35">
      <c r="A13" s="35" t="s">
        <v>10</v>
      </c>
      <c r="B13" s="27"/>
      <c r="C13" s="27"/>
      <c r="D13" s="27"/>
      <c r="E13" s="27"/>
      <c r="F13" s="6"/>
      <c r="G13" s="14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0.25" customHeight="1" x14ac:dyDescent="0.35">
      <c r="A14" s="15" t="s">
        <v>11</v>
      </c>
      <c r="B14" s="9" t="s">
        <v>12</v>
      </c>
      <c r="C14" s="15" t="s">
        <v>13</v>
      </c>
      <c r="D14" s="15" t="s">
        <v>14</v>
      </c>
      <c r="E14" s="15" t="s">
        <v>15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0" customHeight="1" x14ac:dyDescent="0.35">
      <c r="A15" s="13">
        <v>1</v>
      </c>
      <c r="B15" s="16" t="s">
        <v>48</v>
      </c>
      <c r="C15" s="21">
        <v>429917</v>
      </c>
      <c r="D15" s="17">
        <v>1</v>
      </c>
      <c r="E15" s="17">
        <f t="shared" ref="E15" si="0">C15*D15</f>
        <v>429917</v>
      </c>
      <c r="F15" s="8"/>
      <c r="G15" s="1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0.25" customHeight="1" x14ac:dyDescent="0.35">
      <c r="A16" s="13"/>
      <c r="B16" s="9" t="s">
        <v>16</v>
      </c>
      <c r="C16" s="13"/>
      <c r="D16" s="13"/>
      <c r="E16" s="19">
        <f>SUM(E15:E15)</f>
        <v>429917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0.25" customHeight="1" x14ac:dyDescent="0.35">
      <c r="A17" s="25"/>
      <c r="B17" s="27"/>
      <c r="C17" s="27"/>
      <c r="D17" s="27"/>
      <c r="E17" s="27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0.25" customHeight="1" x14ac:dyDescent="0.35">
      <c r="A18" s="15" t="s">
        <v>17</v>
      </c>
      <c r="B18" s="31" t="s">
        <v>18</v>
      </c>
      <c r="C18" s="27"/>
      <c r="D18" s="27"/>
      <c r="E18" s="2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5" x14ac:dyDescent="0.35">
      <c r="A19" s="13">
        <v>1</v>
      </c>
      <c r="B19" s="28" t="s">
        <v>35</v>
      </c>
      <c r="C19" s="27"/>
      <c r="D19" s="27"/>
      <c r="E19" s="2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5" x14ac:dyDescent="0.35">
      <c r="A20" s="13">
        <v>2</v>
      </c>
      <c r="B20" s="28" t="s">
        <v>37</v>
      </c>
      <c r="C20" s="27"/>
      <c r="D20" s="27"/>
      <c r="E20" s="2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5" x14ac:dyDescent="0.35">
      <c r="A21" s="13">
        <v>3</v>
      </c>
      <c r="B21" s="28" t="s">
        <v>36</v>
      </c>
      <c r="C21" s="27"/>
      <c r="D21" s="27"/>
      <c r="E21" s="2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8" customHeight="1" x14ac:dyDescent="0.35">
      <c r="A22" s="26"/>
      <c r="B22" s="27"/>
      <c r="C22" s="27"/>
      <c r="D22" s="27"/>
      <c r="E22" s="2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0.25" customHeight="1" x14ac:dyDescent="0.35">
      <c r="A23" s="15" t="s">
        <v>17</v>
      </c>
      <c r="B23" s="31" t="s">
        <v>19</v>
      </c>
      <c r="C23" s="27"/>
      <c r="D23" s="27"/>
      <c r="E23" s="2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5" x14ac:dyDescent="0.35">
      <c r="A24" s="13">
        <v>1</v>
      </c>
      <c r="B24" s="29" t="s">
        <v>38</v>
      </c>
      <c r="C24" s="27"/>
      <c r="D24" s="27"/>
      <c r="E24" s="2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5" x14ac:dyDescent="0.35">
      <c r="A25" s="13">
        <v>2</v>
      </c>
      <c r="B25" s="29" t="s">
        <v>39</v>
      </c>
      <c r="C25" s="27"/>
      <c r="D25" s="27"/>
      <c r="E25" s="2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8" customHeight="1" x14ac:dyDescent="0.35">
      <c r="A26" s="26"/>
      <c r="B26" s="27"/>
      <c r="C26" s="27"/>
      <c r="D26" s="27"/>
      <c r="E26" s="2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5" x14ac:dyDescent="0.35">
      <c r="A27" s="15" t="s">
        <v>17</v>
      </c>
      <c r="B27" s="29" t="s">
        <v>40</v>
      </c>
      <c r="C27" s="27"/>
      <c r="D27" s="27"/>
      <c r="E27" s="2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5" x14ac:dyDescent="0.35">
      <c r="A28" s="13">
        <v>1</v>
      </c>
      <c r="B28" s="32" t="s">
        <v>41</v>
      </c>
      <c r="C28" s="33"/>
      <c r="D28" s="34"/>
      <c r="E28" s="22">
        <v>1281456.6000000001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5" x14ac:dyDescent="0.35">
      <c r="A29" s="13">
        <v>2</v>
      </c>
      <c r="B29" s="32" t="s">
        <v>42</v>
      </c>
      <c r="C29" s="33"/>
      <c r="D29" s="34"/>
      <c r="E29" s="22">
        <f>E28*35%</f>
        <v>448509.81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5" x14ac:dyDescent="0.35">
      <c r="A30" s="13">
        <v>3</v>
      </c>
      <c r="B30" s="32" t="s">
        <v>43</v>
      </c>
      <c r="C30" s="33"/>
      <c r="D30" s="34"/>
      <c r="E30" s="23">
        <f>E16/E29*12</f>
        <v>11.502544392507268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8" customHeight="1" x14ac:dyDescent="0.35">
      <c r="A31" s="26"/>
      <c r="B31" s="27"/>
      <c r="C31" s="27"/>
      <c r="D31" s="27"/>
      <c r="E31" s="2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0.25" customHeight="1" x14ac:dyDescent="0.35">
      <c r="A32" s="31" t="s">
        <v>20</v>
      </c>
      <c r="B32" s="27"/>
      <c r="C32" s="27"/>
      <c r="D32" s="27"/>
      <c r="E32" s="2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0.25" customHeight="1" x14ac:dyDescent="0.35">
      <c r="A33" s="25" t="s">
        <v>28</v>
      </c>
      <c r="B33" s="27"/>
      <c r="C33" s="27"/>
      <c r="D33" s="27"/>
      <c r="E33" s="2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0.25" customHeight="1" x14ac:dyDescent="0.35">
      <c r="A34" s="25" t="s">
        <v>29</v>
      </c>
      <c r="B34" s="27"/>
      <c r="C34" s="27"/>
      <c r="D34" s="27"/>
      <c r="E34" s="2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0.25" customHeight="1" x14ac:dyDescent="0.35">
      <c r="A35" s="25" t="s">
        <v>30</v>
      </c>
      <c r="B35" s="27"/>
      <c r="C35" s="27"/>
      <c r="D35" s="27"/>
      <c r="E35" s="27"/>
      <c r="F35" s="25"/>
      <c r="G35" s="27"/>
      <c r="H35" s="27"/>
      <c r="I35" s="27"/>
      <c r="J35" s="27"/>
      <c r="K35" s="25"/>
      <c r="L35" s="27"/>
      <c r="M35" s="27"/>
      <c r="N35" s="27"/>
      <c r="O35" s="27"/>
      <c r="P35" s="25"/>
      <c r="Q35" s="27"/>
      <c r="R35" s="27"/>
      <c r="S35" s="27"/>
      <c r="T35" s="27"/>
      <c r="U35" s="25"/>
      <c r="V35" s="27"/>
      <c r="W35" s="27"/>
      <c r="X35" s="27"/>
      <c r="Y35" s="27"/>
      <c r="Z35" s="8"/>
    </row>
    <row r="36" spans="1:26" ht="20.25" customHeight="1" x14ac:dyDescent="0.35">
      <c r="A36" s="25" t="s">
        <v>44</v>
      </c>
      <c r="B36" s="27"/>
      <c r="C36" s="27"/>
      <c r="D36" s="27"/>
      <c r="E36" s="27"/>
      <c r="F36" s="25"/>
      <c r="G36" s="27"/>
      <c r="H36" s="27"/>
      <c r="I36" s="27"/>
      <c r="J36" s="27"/>
      <c r="K36" s="25"/>
      <c r="L36" s="27"/>
      <c r="M36" s="27"/>
      <c r="N36" s="27"/>
      <c r="O36" s="27"/>
      <c r="P36" s="25"/>
      <c r="Q36" s="27"/>
      <c r="R36" s="27"/>
      <c r="S36" s="27"/>
      <c r="T36" s="27"/>
      <c r="U36" s="25"/>
      <c r="V36" s="27"/>
      <c r="W36" s="27"/>
      <c r="X36" s="27"/>
      <c r="Y36" s="27"/>
      <c r="Z36" s="8"/>
    </row>
    <row r="37" spans="1:26" ht="20.25" customHeight="1" x14ac:dyDescent="0.35">
      <c r="A37" s="25" t="s">
        <v>47</v>
      </c>
      <c r="B37" s="27"/>
      <c r="C37" s="27"/>
      <c r="D37" s="27"/>
      <c r="E37" s="27"/>
      <c r="F37" s="25"/>
      <c r="G37" s="27"/>
      <c r="H37" s="27"/>
      <c r="I37" s="27"/>
      <c r="J37" s="27"/>
      <c r="K37" s="25"/>
      <c r="L37" s="27"/>
      <c r="M37" s="27"/>
      <c r="N37" s="27"/>
      <c r="O37" s="27"/>
      <c r="P37" s="25"/>
      <c r="Q37" s="27"/>
      <c r="R37" s="27"/>
      <c r="S37" s="27"/>
      <c r="T37" s="27"/>
      <c r="U37" s="25"/>
      <c r="V37" s="27"/>
      <c r="W37" s="27"/>
      <c r="X37" s="27"/>
      <c r="Y37" s="27"/>
      <c r="Z37" s="8"/>
    </row>
    <row r="38" spans="1:26" ht="20.25" customHeight="1" x14ac:dyDescent="0.35">
      <c r="A38" s="25" t="s">
        <v>45</v>
      </c>
      <c r="B38" s="27"/>
      <c r="C38" s="27"/>
      <c r="D38" s="27"/>
      <c r="E38" s="27"/>
      <c r="F38" s="25"/>
      <c r="G38" s="27"/>
      <c r="H38" s="27"/>
      <c r="I38" s="27"/>
      <c r="J38" s="27"/>
      <c r="K38" s="25"/>
      <c r="L38" s="27"/>
      <c r="M38" s="27"/>
      <c r="N38" s="27"/>
      <c r="O38" s="27"/>
      <c r="P38" s="25"/>
      <c r="Q38" s="27"/>
      <c r="R38" s="27"/>
      <c r="S38" s="27"/>
      <c r="T38" s="27"/>
      <c r="U38" s="25"/>
      <c r="V38" s="27"/>
      <c r="W38" s="27"/>
      <c r="X38" s="27"/>
      <c r="Y38" s="27"/>
      <c r="Z38" s="8"/>
    </row>
    <row r="39" spans="1:26" ht="20.25" customHeight="1" x14ac:dyDescent="0.35">
      <c r="A39" s="25" t="s">
        <v>46</v>
      </c>
      <c r="B39" s="27"/>
      <c r="C39" s="27"/>
      <c r="D39" s="27"/>
      <c r="E39" s="27"/>
      <c r="F39" s="8"/>
      <c r="G39" s="8"/>
      <c r="H39" s="8"/>
      <c r="I39" s="8"/>
      <c r="J39" s="8"/>
      <c r="K39" s="8"/>
      <c r="L39" s="2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0.25" customHeight="1" x14ac:dyDescent="0.35">
      <c r="A40" s="25" t="s">
        <v>27</v>
      </c>
      <c r="B40" s="27"/>
      <c r="C40" s="27"/>
      <c r="D40" s="27"/>
      <c r="E40" s="2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0.25" customHeight="1" x14ac:dyDescent="0.35">
      <c r="A41" s="25" t="s">
        <v>25</v>
      </c>
      <c r="B41" s="25"/>
      <c r="C41" s="25"/>
      <c r="D41" s="25"/>
      <c r="E41" s="25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0.25" customHeight="1" x14ac:dyDescent="0.35">
      <c r="A42" s="25" t="s">
        <v>26</v>
      </c>
      <c r="B42" s="25"/>
      <c r="C42" s="25"/>
      <c r="D42" s="25"/>
      <c r="E42" s="25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0.25" customHeight="1" x14ac:dyDescent="0.35">
      <c r="A43" s="30"/>
      <c r="B43" s="27"/>
      <c r="C43" s="27"/>
      <c r="D43" s="27"/>
      <c r="E43" s="2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0.25" customHeight="1" x14ac:dyDescent="0.35">
      <c r="A44" s="31" t="s">
        <v>21</v>
      </c>
      <c r="B44" s="27"/>
      <c r="C44" s="27"/>
      <c r="D44" s="27"/>
      <c r="E44" s="2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0.25" customHeight="1" x14ac:dyDescent="0.35">
      <c r="A45" s="25" t="s">
        <v>22</v>
      </c>
      <c r="B45" s="25"/>
      <c r="C45" s="25"/>
      <c r="D45" s="25"/>
      <c r="E45" s="25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0.25" customHeight="1" x14ac:dyDescent="0.35">
      <c r="A46" s="25" t="s">
        <v>23</v>
      </c>
      <c r="B46" s="25"/>
      <c r="C46" s="25"/>
      <c r="D46" s="25"/>
      <c r="E46" s="25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0.25" customHeight="1" x14ac:dyDescent="0.35">
      <c r="A47" s="25" t="s">
        <v>24</v>
      </c>
      <c r="B47" s="25"/>
      <c r="C47" s="25"/>
      <c r="D47" s="25"/>
      <c r="E47" s="25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0.25" customHeight="1" x14ac:dyDescent="0.35">
      <c r="A48" s="26"/>
      <c r="B48" s="27"/>
      <c r="C48" s="27"/>
      <c r="D48" s="27"/>
      <c r="E48" s="2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25" customHeight="1" x14ac:dyDescent="0.3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62">
    <mergeCell ref="A11:E11"/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B20:E20"/>
    <mergeCell ref="B28:D28"/>
    <mergeCell ref="B29:D29"/>
    <mergeCell ref="B30:D30"/>
    <mergeCell ref="A31:E31"/>
    <mergeCell ref="A12:E12"/>
    <mergeCell ref="A13:E13"/>
    <mergeCell ref="A17:E17"/>
    <mergeCell ref="B18:E18"/>
    <mergeCell ref="B19:E19"/>
    <mergeCell ref="U35:Y35"/>
    <mergeCell ref="A38:E38"/>
    <mergeCell ref="F38:J38"/>
    <mergeCell ref="K38:O38"/>
    <mergeCell ref="P38:T38"/>
    <mergeCell ref="U38:Y38"/>
    <mergeCell ref="A35:E35"/>
    <mergeCell ref="F35:J35"/>
    <mergeCell ref="K35:O35"/>
    <mergeCell ref="P35:T35"/>
    <mergeCell ref="F36:J36"/>
    <mergeCell ref="K36:O36"/>
    <mergeCell ref="P36:T36"/>
    <mergeCell ref="U36:Y36"/>
    <mergeCell ref="A37:E37"/>
    <mergeCell ref="F37:J37"/>
    <mergeCell ref="A47:E47"/>
    <mergeCell ref="A48:E48"/>
    <mergeCell ref="K37:O37"/>
    <mergeCell ref="P37:T37"/>
    <mergeCell ref="U37:Y37"/>
    <mergeCell ref="A39:E39"/>
    <mergeCell ref="A40:E40"/>
    <mergeCell ref="A44:E44"/>
    <mergeCell ref="A45:E45"/>
    <mergeCell ref="A46:E46"/>
    <mergeCell ref="A41:E41"/>
    <mergeCell ref="A42:E42"/>
    <mergeCell ref="A43:E43"/>
    <mergeCell ref="A26:E26"/>
    <mergeCell ref="B27:E27"/>
    <mergeCell ref="B21:E21"/>
    <mergeCell ref="A36:E36"/>
    <mergeCell ref="A32:E32"/>
    <mergeCell ref="A34:E34"/>
    <mergeCell ref="A22:E22"/>
    <mergeCell ref="B23:E23"/>
    <mergeCell ref="B24:E24"/>
    <mergeCell ref="A33:E33"/>
    <mergeCell ref="B25:E25"/>
  </mergeCells>
  <pageMargins left="0.70866141732283472" right="0.70866141732283472" top="0.74803149606299213" bottom="0.74803149606299213" header="0.31496062992125984" footer="0.31496062992125984"/>
  <pageSetup paperSize="9"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Schott (2)</vt:lpstr>
      <vt:lpstr>Schott</vt:lpstr>
      <vt:lpstr>Schott!Print_Area</vt:lpstr>
      <vt:lpstr>'Schott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krunalkawale1011@gmail.com</cp:lastModifiedBy>
  <cp:lastPrinted>2025-04-03T11:32:39Z</cp:lastPrinted>
  <dcterms:created xsi:type="dcterms:W3CDTF">2015-06-05T18:17:20Z</dcterms:created>
  <dcterms:modified xsi:type="dcterms:W3CDTF">2025-04-03T11:44:52Z</dcterms:modified>
</cp:coreProperties>
</file>